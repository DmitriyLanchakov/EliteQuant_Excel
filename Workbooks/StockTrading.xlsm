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liteQuant_Excel\Workbooks\"/>
    </mc:Choice>
  </mc:AlternateContent>
  <bookViews>
    <workbookView xWindow="480" yWindow="135" windowWidth="18195" windowHeight="11760"/>
  </bookViews>
  <sheets>
    <sheet name="Live" sheetId="1" r:id="rId1"/>
  </sheets>
  <definedNames>
    <definedName name="_xlnm._FilterDatabase" localSheetId="0" hidden="1">Live!$A$2:$J$2</definedName>
  </definedNames>
  <calcPr calcId="162913"/>
</workbook>
</file>

<file path=xl/calcChain.xml><?xml version="1.0" encoding="utf-8"?>
<calcChain xmlns="http://schemas.openxmlformats.org/spreadsheetml/2006/main">
  <c r="B10" i="1" l="1" a="1"/>
  <c r="B14" i="1" a="1"/>
  <c r="B11" i="1" a="1"/>
  <c r="B9" i="1" a="1"/>
  <c r="B16" i="1" a="1"/>
  <c r="B6" i="1" a="1"/>
  <c r="B13" i="1" a="1"/>
  <c r="B7" i="1" a="1"/>
  <c r="B15" i="1" a="1"/>
  <c r="B5" i="1" a="1"/>
  <c r="B18" i="1" a="1"/>
  <c r="B8" i="1" a="1"/>
  <c r="B3" i="1" a="1"/>
  <c r="B4" i="1" a="1"/>
  <c r="B12" i="1" a="1"/>
  <c r="B17" i="1" a="1"/>
  <c r="B1" i="1"/>
  <c r="D3" i="1"/>
  <c r="H9" i="1"/>
  <c r="B18" i="1"/>
  <c r="F14" i="1"/>
  <c r="B8" i="1"/>
  <c r="I8" i="1"/>
  <c r="E6" i="1"/>
  <c r="G4" i="1"/>
  <c r="E8" i="1"/>
  <c r="B4" i="1"/>
  <c r="J18" i="1"/>
  <c r="I6" i="1"/>
  <c r="B6" i="1"/>
  <c r="E11" i="1"/>
  <c r="F4" i="1"/>
  <c r="J8" i="1"/>
  <c r="C13" i="1"/>
  <c r="E10" i="1"/>
  <c r="B12" i="1"/>
  <c r="I10" i="1"/>
  <c r="G14" i="1"/>
  <c r="G6" i="1"/>
  <c r="I3" i="1"/>
  <c r="H12" i="1"/>
  <c r="C12" i="1"/>
  <c r="C9" i="1"/>
  <c r="B7" i="1"/>
  <c r="D13" i="1"/>
  <c r="E5" i="1"/>
  <c r="J3" i="1"/>
  <c r="F18" i="1"/>
  <c r="C14" i="1"/>
  <c r="D10" i="1"/>
  <c r="I11" i="1"/>
  <c r="B17" i="1"/>
  <c r="G5" i="1"/>
  <c r="H4" i="1"/>
  <c r="B15" i="1"/>
  <c r="B10" i="1"/>
  <c r="G18" i="1"/>
  <c r="B13" i="1"/>
  <c r="I9" i="1"/>
  <c r="J13" i="1"/>
  <c r="F12" i="1"/>
  <c r="E16" i="1"/>
  <c r="H7" i="1"/>
  <c r="C10" i="1"/>
  <c r="H5" i="1"/>
  <c r="E3" i="1"/>
  <c r="F13" i="1"/>
  <c r="D18" i="1"/>
  <c r="J10" i="1"/>
  <c r="B5" i="1"/>
  <c r="H18" i="1"/>
  <c r="J7" i="1"/>
  <c r="E17" i="1"/>
  <c r="E18" i="1"/>
  <c r="G3" i="1"/>
  <c r="I7" i="1"/>
  <c r="C18" i="1"/>
  <c r="H8" i="1"/>
  <c r="F11" i="1"/>
  <c r="E12" i="1"/>
  <c r="C5" i="1"/>
  <c r="I15" i="1"/>
  <c r="F17" i="1"/>
  <c r="I18" i="1"/>
  <c r="F16" i="1"/>
  <c r="F7" i="1"/>
  <c r="D11" i="1"/>
  <c r="F15" i="1"/>
  <c r="F5" i="1"/>
  <c r="C6" i="1"/>
  <c r="I14" i="1"/>
  <c r="H16" i="1"/>
  <c r="H13" i="1"/>
  <c r="C15" i="1"/>
  <c r="J5" i="1"/>
  <c r="E9" i="1"/>
  <c r="G11" i="1"/>
  <c r="J17" i="1"/>
  <c r="I13" i="1"/>
  <c r="H6" i="1"/>
  <c r="D5" i="1"/>
  <c r="G9" i="1"/>
  <c r="C17" i="1"/>
  <c r="B16" i="1"/>
  <c r="G17" i="1"/>
  <c r="I16" i="1"/>
  <c r="J11" i="1"/>
  <c r="J15" i="1"/>
  <c r="H14" i="1"/>
  <c r="C3" i="1"/>
  <c r="D16" i="1"/>
  <c r="F3" i="1"/>
  <c r="I5" i="1"/>
  <c r="F10" i="1"/>
  <c r="H17" i="1"/>
  <c r="I12" i="1"/>
  <c r="H11" i="1"/>
  <c r="D6" i="1"/>
  <c r="E7" i="1"/>
  <c r="B11" i="1"/>
  <c r="F8" i="1"/>
  <c r="G12" i="1"/>
  <c r="D9" i="1"/>
  <c r="E14" i="1"/>
  <c r="J4" i="1"/>
  <c r="G10" i="1"/>
  <c r="D8" i="1"/>
  <c r="G7" i="1"/>
  <c r="B9" i="1"/>
  <c r="F6" i="1"/>
  <c r="H15" i="1"/>
  <c r="I4" i="1"/>
  <c r="C4" i="1"/>
  <c r="E13" i="1"/>
  <c r="E15" i="1"/>
  <c r="F9" i="1"/>
  <c r="B3" i="1"/>
  <c r="G16" i="1"/>
  <c r="C16" i="1"/>
  <c r="H3" i="1"/>
  <c r="C8" i="1"/>
  <c r="E4" i="1"/>
  <c r="D7" i="1"/>
  <c r="C11" i="1"/>
  <c r="J14" i="1"/>
  <c r="J16" i="1"/>
  <c r="C7" i="1"/>
  <c r="G13" i="1"/>
  <c r="D12" i="1"/>
  <c r="D17" i="1"/>
  <c r="I17" i="1"/>
  <c r="J9" i="1"/>
  <c r="D15" i="1"/>
  <c r="D14" i="1"/>
  <c r="J12" i="1"/>
  <c r="G15" i="1"/>
  <c r="B14" i="1"/>
  <c r="D4" i="1"/>
  <c r="G8" i="1"/>
  <c r="H10" i="1"/>
  <c r="J6" i="1"/>
  <c r="L3" i="1" l="1"/>
  <c r="L10" i="1"/>
  <c r="L5" i="1"/>
  <c r="L8" i="1"/>
  <c r="L11" i="1"/>
  <c r="L9" i="1"/>
  <c r="L4" i="1"/>
  <c r="L7" i="1"/>
  <c r="L6" i="1"/>
  <c r="L12" i="1"/>
  <c r="L14" i="1"/>
  <c r="L13" i="1"/>
  <c r="L18" i="1"/>
  <c r="L17" i="1"/>
  <c r="L16" i="1"/>
  <c r="L15" i="1"/>
  <c r="L19" i="1" l="1"/>
  <c r="L20" i="1"/>
  <c r="L21" i="1"/>
</calcChain>
</file>

<file path=xl/sharedStrings.xml><?xml version="1.0" encoding="utf-8"?>
<sst xmlns="http://schemas.openxmlformats.org/spreadsheetml/2006/main" count="33" uniqueCount="33">
  <si>
    <t>AAPL</t>
  </si>
  <si>
    <t>Ticker</t>
  </si>
  <si>
    <t>Price</t>
  </si>
  <si>
    <t>Change</t>
  </si>
  <si>
    <t>% Change</t>
  </si>
  <si>
    <t>Time</t>
  </si>
  <si>
    <t>GOOGL</t>
  </si>
  <si>
    <t>GLD</t>
  </si>
  <si>
    <t>TLT</t>
  </si>
  <si>
    <t>FB</t>
  </si>
  <si>
    <t>XIV</t>
  </si>
  <si>
    <t>TSLA</t>
  </si>
  <si>
    <t>QQQ</t>
  </si>
  <si>
    <t>SPY</t>
  </si>
  <si>
    <t>BP</t>
  </si>
  <si>
    <t>DIA</t>
  </si>
  <si>
    <t>AMZN</t>
  </si>
  <si>
    <t>Bid</t>
  </si>
  <si>
    <t>Ask</t>
  </si>
  <si>
    <t>High</t>
  </si>
  <si>
    <t>Low</t>
  </si>
  <si>
    <t>Volume</t>
  </si>
  <si>
    <t>Size</t>
  </si>
  <si>
    <t>Open</t>
  </si>
  <si>
    <t>VXX</t>
  </si>
  <si>
    <t>UVXY</t>
  </si>
  <si>
    <t>USO</t>
  </si>
  <si>
    <t>Total</t>
  </si>
  <si>
    <t>PnL</t>
  </si>
  <si>
    <t>Long Side</t>
  </si>
  <si>
    <t>Short Side</t>
  </si>
  <si>
    <t>BK</t>
  </si>
  <si>
    <t>For now, bid/ask/high/low are set to last price until we have these info.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</si>
</sst>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2fa51d367d640eaa26d48f39244e6f3">
      <tp t="s">
        <v>21:41:12</v>
        <stp/>
        <stp>3</stp>
        <stp>NOW</stp>
        <tr r="B1" s="1"/>
      </tp>
      <tp t="s">
        <v>1136.84,7.67,0.00679,1136.84,1136.84,1130.11,1136.84,1136.84,3034344</v>
        <stp/>
        <stp>3</stp>
        <stp>RealTimeQuote</stp>
        <stp/>
        <stp>AMZN</stp>
        <tr r="I17" s="1"/>
        <tr r="D17" s="1"/>
        <tr r="H17" s="1"/>
        <tr r="G17" s="1"/>
        <tr r="C17" s="1"/>
        <tr r="J17" s="1"/>
        <tr r="F17" s="1"/>
        <tr r="E17" s="1"/>
        <tr r="B17" s="1"/>
      </tp>
      <tp t="s">
        <v>171.34,-2.63,-0.01512,171.34,171.34,173.05,171.34,171.34,23495575</v>
        <stp/>
        <stp>3</stp>
        <stp>RealTimeQuote</stp>
        <stp/>
        <stp>AAPL</stp>
        <tr r="J16" s="1"/>
        <tr r="C16" s="1"/>
        <tr r="G16" s="1"/>
        <tr r="D16" s="1"/>
        <tr r="I16" s="1"/>
        <tr r="B16" s="1"/>
        <tr r="H16" s="1"/>
        <tr r="F16" s="1"/>
        <tr r="E16" s="1"/>
      </tp>
      <tp t="s">
        <v>121.56,0.25,0.00206,121.56,121.56,120.9,121.56,121.56,6182145</v>
        <stp/>
        <stp>3</stp>
        <stp>RealTimeQuote</stp>
        <stp/>
        <stp>GLD</stp>
        <tr r="J9" s="1"/>
        <tr r="F9" s="1"/>
        <tr r="B9" s="1"/>
        <tr r="D9" s="1"/>
        <tr r="G9" s="1"/>
        <tr r="E9" s="1"/>
        <tr r="I9" s="1"/>
        <tr r="C9" s="1"/>
        <tr r="H9" s="1"/>
      </tp>
      <tp t="s">
        <v>234.28,-0.38,-0.00162,234.28,234.28,233.97,234.28,234.28,2538307</v>
        <stp/>
        <stp>3</stp>
        <stp>RealTimeQuote</stp>
        <stp/>
        <stp>DIA</stp>
        <tr r="G8" s="1"/>
        <tr r="C8" s="1"/>
        <tr r="D8" s="1"/>
        <tr r="F8" s="1"/>
        <tr r="H8" s="1"/>
        <tr r="J8" s="1"/>
        <tr r="E8" s="1"/>
        <tr r="I8" s="1"/>
        <tr r="B8" s="1"/>
      </tp>
      <tp t="s">
        <v>107.69,-0.87,-0.00801,107.69,107.69,106.96,107.69,107.69,9372485</v>
        <stp/>
        <stp>3</stp>
        <stp>RealTimeQuote</stp>
        <stp/>
        <stp>XIV</stp>
        <tr r="D4" s="1"/>
        <tr r="E4" s="1"/>
        <tr r="C4" s="1"/>
        <tr r="I4" s="1"/>
        <tr r="J4" s="1"/>
        <tr r="H4" s="1"/>
        <tr r="F4" s="1"/>
        <tr r="B4" s="1"/>
        <tr r="G4" s="1"/>
      </tp>
      <tp t="s">
        <v>35.16,0.26,0.00745,35.16,35.16,35.46,35.16,35.16,39907089</v>
        <stp/>
        <stp>3</stp>
        <stp>RealTimeQuote</stp>
        <stp/>
        <stp>VXX</stp>
        <tr r="I5" s="1"/>
        <tr r="D5" s="1"/>
        <tr r="J5" s="1"/>
        <tr r="F5" s="1"/>
        <tr r="C5" s="1"/>
        <tr r="B5" s="1"/>
        <tr r="H5" s="1"/>
        <tr r="G5" s="1"/>
        <tr r="E5" s="1"/>
      </tp>
      <tp t="s">
        <v>11.13,-0.25,-0.02197,11.13,11.13,11.35,11.13,11.13,21414086</v>
        <stp/>
        <stp>3</stp>
        <stp>RealTimeQuote</stp>
        <stp/>
        <stp>USO</stp>
        <tr r="H10" s="1"/>
        <tr r="G10" s="1"/>
        <tr r="F10" s="1"/>
        <tr r="J10" s="1"/>
        <tr r="C10" s="1"/>
        <tr r="B10" s="1"/>
        <tr r="D10" s="1"/>
        <tr r="I10" s="1"/>
        <tr r="E10" s="1"/>
      </tp>
      <tp t="s">
        <v>308.7,-6.7,-0.02124,308.7,308.7,315,308.7,308.7,5637759</v>
        <stp/>
        <stp>3</stp>
        <stp>RealTimeQuote</stp>
        <stp/>
        <stp>TSLA</stp>
        <tr r="G13" s="1"/>
        <tr r="E13" s="1"/>
        <tr r="I13" s="1"/>
        <tr r="H13" s="1"/>
        <tr r="F13" s="1"/>
        <tr r="J13" s="1"/>
        <tr r="B13" s="1"/>
        <tr r="D13" s="1"/>
        <tr r="C13" s="1"/>
      </tp>
      <tp t="s">
        <v>125.2,0.84,0.00675,125.2,125.2,124.8,125.2,125.2,6099097</v>
        <stp/>
        <stp>3</stp>
        <stp>RealTimeQuote</stp>
        <stp/>
        <stp>TLT</stp>
        <tr r="C11" s="1"/>
        <tr r="B11" s="1"/>
        <tr r="H11" s="1"/>
        <tr r="J11" s="1"/>
        <tr r="G11" s="1"/>
        <tr r="D11" s="1"/>
        <tr r="F11" s="1"/>
        <tr r="I11" s="1"/>
        <tr r="E11" s="1"/>
      </tp>
      <tp t="s">
        <v>257.73,-0.6,-0.00232,257.73,257.73,257.44,257.73,257.73,59743131</v>
        <stp/>
        <stp>3</stp>
        <stp>RealTimeQuote</stp>
        <stp/>
        <stp>SPY</stp>
        <tr r="H3" s="1"/>
        <tr r="B3" s="1"/>
        <tr r="F3" s="1"/>
        <tr r="C3" s="1"/>
        <tr r="G3" s="1"/>
        <tr r="E3" s="1"/>
        <tr r="J3" s="1"/>
        <tr r="I3" s="1"/>
        <tr r="D3" s="1"/>
      </tp>
      <tp t="s">
        <v>1041.64,0.44,0.00042,1041.64,1041.64,1037.72,1041.64,1041.64,1076878</v>
        <stp/>
        <stp>3</stp>
        <stp>RealTimeQuote</stp>
        <stp/>
        <stp>GOOGL</stp>
        <tr r="B14" s="1"/>
        <tr r="D14" s="1"/>
        <tr r="J14" s="1"/>
        <tr r="E14" s="1"/>
        <tr r="H14" s="1"/>
        <tr r="I14" s="1"/>
        <tr r="C14" s="1"/>
        <tr r="G14" s="1"/>
        <tr r="F14" s="1"/>
      </tp>
      <tp t="s">
        <v>153.31,-0.56,-0.00364,153.31,153.31,153.33,153.31,153.31,24988014</v>
        <stp/>
        <stp>3</stp>
        <stp>RealTimeQuote</stp>
        <stp/>
        <stp>QQQ</stp>
        <tr r="C7" s="1"/>
        <tr r="D7" s="1"/>
        <tr r="G7" s="1"/>
        <tr r="E7" s="1"/>
        <tr r="F7" s="1"/>
        <tr r="I7" s="1"/>
        <tr r="J7" s="1"/>
        <tr r="H7" s="1"/>
        <tr r="B7" s="1"/>
      </tp>
      <tp t="s">
        <v>16.41,0.19,0.01171,16.41,16.41,16.69,16.41,16.41,40508140</v>
        <stp/>
        <stp>3</stp>
        <stp>RealTimeQuote</stp>
        <stp/>
        <stp>UVXY</stp>
        <tr r="J6" s="1"/>
        <tr r="F6" s="1"/>
        <tr r="D6" s="1"/>
        <tr r="H6" s="1"/>
        <tr r="C6" s="1"/>
        <tr r="G6" s="1"/>
        <tr r="B6" s="1"/>
        <tr r="I6" s="1"/>
        <tr r="E6" s="1"/>
      </tp>
      <tp t="s">
        <v>178.07,-0.7,-0.00392,178.07,178.07,178,178.07,178.07,9424707</v>
        <stp/>
        <stp>3</stp>
        <stp>RealTimeQuote</stp>
        <stp/>
        <stp>FB</stp>
        <tr r="J12" s="1"/>
        <tr r="D12" s="1"/>
        <tr r="G12" s="1"/>
        <tr r="I12" s="1"/>
        <tr r="E12" s="1"/>
        <tr r="F12" s="1"/>
        <tr r="C12" s="1"/>
        <tr r="H12" s="1"/>
        <tr r="B12" s="1"/>
      </tp>
      <tp t="s">
        <v>51.85,0.83,0.01627,51.85,51.85,50.64,51.85,51.85,6139831</v>
        <stp/>
        <stp>3</stp>
        <stp>RealTimeQuote</stp>
        <stp/>
        <stp>BK</stp>
        <tr r="I18" s="1"/>
        <tr r="C18" s="1"/>
        <tr r="E18" s="1"/>
        <tr r="H18" s="1"/>
        <tr r="D18" s="1"/>
        <tr r="G18" s="1"/>
        <tr r="F18" s="1"/>
        <tr r="J18" s="1"/>
        <tr r="B18" s="1"/>
      </tp>
      <tp t="s">
        <v>39.61,-0.27,-0.00677,39.61,39.61,39.8,39.61,39.61,3928655</v>
        <stp/>
        <stp>3</stp>
        <stp>RealTimeQuote</stp>
        <stp/>
        <stp>BP</stp>
        <tr r="G15" s="1"/>
        <tr r="D15" s="1"/>
        <tr r="E15" s="1"/>
        <tr r="H15" s="1"/>
        <tr r="J15" s="1"/>
        <tr r="C15" s="1"/>
        <tr r="F15" s="1"/>
        <tr r="I15" s="1"/>
        <tr r="B15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2"/>
  <sheetViews>
    <sheetView tabSelected="1" workbookViewId="0">
      <selection activeCell="E7" sqref="E7"/>
    </sheetView>
  </sheetViews>
  <sheetFormatPr defaultRowHeight="15" x14ac:dyDescent="0.25"/>
  <cols>
    <col min="1" max="1" width="19.28515625" customWidth="1"/>
    <col min="2" max="2" width="12.85546875" customWidth="1"/>
    <col min="3" max="12" width="11.7109375" customWidth="1"/>
  </cols>
  <sheetData>
    <row r="1" spans="1:12" ht="15.75" thickBot="1" x14ac:dyDescent="0.3">
      <c r="A1" s="3" t="s">
        <v>5</v>
      </c>
      <c r="B1" s="4" t="str">
        <f>_xll.eqTimeNow(3)</f>
        <v>21:41:12</v>
      </c>
    </row>
    <row r="2" spans="1:12" ht="15.75" thickBot="1" x14ac:dyDescent="0.3">
      <c r="A2" s="5" t="s">
        <v>1</v>
      </c>
      <c r="B2" s="1" t="s">
        <v>2</v>
      </c>
      <c r="C2" s="1" t="s">
        <v>3</v>
      </c>
      <c r="D2" s="1" t="s">
        <v>4</v>
      </c>
      <c r="E2" s="1" t="s">
        <v>17</v>
      </c>
      <c r="F2" s="1" t="s">
        <v>18</v>
      </c>
      <c r="G2" s="1" t="s">
        <v>23</v>
      </c>
      <c r="H2" s="1" t="s">
        <v>19</v>
      </c>
      <c r="I2" s="1" t="s">
        <v>20</v>
      </c>
      <c r="J2" s="6" t="s">
        <v>21</v>
      </c>
      <c r="K2" s="7" t="s">
        <v>22</v>
      </c>
      <c r="L2" s="7" t="s">
        <v>28</v>
      </c>
    </row>
    <row r="3" spans="1:12" x14ac:dyDescent="0.25">
      <c r="A3" s="2" t="s">
        <v>13</v>
      </c>
      <c r="B3" s="2" t="str">
        <f t="array" ref="B3:J3">_xll.eqDataRTDQuote(A3,,3)</f>
        <v>257.73</v>
      </c>
      <c r="C3" s="2" t="str">
        <v>-0.6</v>
      </c>
      <c r="D3" s="2" t="str">
        <v>-0.00232</v>
      </c>
      <c r="E3" s="2" t="str">
        <v>257.73</v>
      </c>
      <c r="F3" s="2" t="str">
        <v>257.73</v>
      </c>
      <c r="G3" s="2" t="str">
        <v>257.44</v>
      </c>
      <c r="H3" s="2" t="str">
        <v>257.73</v>
      </c>
      <c r="I3" s="2" t="str">
        <v>257.73</v>
      </c>
      <c r="J3" s="2" t="str">
        <v>59743131</v>
      </c>
      <c r="K3" s="2">
        <v>185</v>
      </c>
      <c r="L3" s="2">
        <f>K3*C3</f>
        <v>-111</v>
      </c>
    </row>
    <row r="4" spans="1:12" x14ac:dyDescent="0.25">
      <c r="A4" s="8" t="s">
        <v>10</v>
      </c>
      <c r="B4" s="8" t="str">
        <f t="array" ref="B4:J4">_xll.eqDataRTDQuote(A4,,3)</f>
        <v>107.69</v>
      </c>
      <c r="C4" s="2" t="str">
        <v>-0.87</v>
      </c>
      <c r="D4" s="2" t="str">
        <v>-0.00801</v>
      </c>
      <c r="E4" s="8" t="str">
        <v>107.69</v>
      </c>
      <c r="F4" s="8" t="str">
        <v>107.69</v>
      </c>
      <c r="G4" s="8" t="str">
        <v>106.96</v>
      </c>
      <c r="H4" s="8" t="str">
        <v>107.69</v>
      </c>
      <c r="I4" s="8" t="str">
        <v>107.69</v>
      </c>
      <c r="J4" s="8" t="str">
        <v>9372485</v>
      </c>
      <c r="K4" s="8">
        <v>300</v>
      </c>
      <c r="L4" s="8">
        <f t="shared" ref="L4:L18" si="0">K4*C4</f>
        <v>-261</v>
      </c>
    </row>
    <row r="5" spans="1:12" x14ac:dyDescent="0.25">
      <c r="A5" s="2" t="s">
        <v>24</v>
      </c>
      <c r="B5" s="2" t="str">
        <f t="array" ref="B5:J5">_xll.eqDataRTDQuote(A5,,3)</f>
        <v>35.16</v>
      </c>
      <c r="C5" s="2" t="str">
        <v>0.26</v>
      </c>
      <c r="D5" s="2" t="str">
        <v>0.00745</v>
      </c>
      <c r="E5" s="2" t="str">
        <v>35.16</v>
      </c>
      <c r="F5" s="2" t="str">
        <v>35.16</v>
      </c>
      <c r="G5" s="2" t="str">
        <v>35.46</v>
      </c>
      <c r="H5" s="2" t="str">
        <v>35.16</v>
      </c>
      <c r="I5" s="2" t="str">
        <v>35.16</v>
      </c>
      <c r="J5" s="2" t="str">
        <v>39907089</v>
      </c>
      <c r="K5" s="2">
        <v>200</v>
      </c>
      <c r="L5" s="2">
        <f t="shared" si="0"/>
        <v>52</v>
      </c>
    </row>
    <row r="6" spans="1:12" x14ac:dyDescent="0.25">
      <c r="A6" s="8" t="s">
        <v>25</v>
      </c>
      <c r="B6" s="8" t="str">
        <f t="array" ref="B6:J6">_xll.eqDataRTDQuote(A6,,3)</f>
        <v>16.41</v>
      </c>
      <c r="C6" s="2" t="str">
        <v>0.19</v>
      </c>
      <c r="D6" s="2" t="str">
        <v>0.01171</v>
      </c>
      <c r="E6" s="8" t="str">
        <v>16.41</v>
      </c>
      <c r="F6" s="8" t="str">
        <v>16.41</v>
      </c>
      <c r="G6" s="8" t="str">
        <v>16.69</v>
      </c>
      <c r="H6" s="8" t="str">
        <v>16.41</v>
      </c>
      <c r="I6" s="8" t="str">
        <v>16.41</v>
      </c>
      <c r="J6" s="8" t="str">
        <v>40508140</v>
      </c>
      <c r="K6" s="8">
        <v>-343</v>
      </c>
      <c r="L6" s="8">
        <f t="shared" si="0"/>
        <v>-65.17</v>
      </c>
    </row>
    <row r="7" spans="1:12" x14ac:dyDescent="0.25">
      <c r="A7" s="2" t="s">
        <v>12</v>
      </c>
      <c r="B7" s="2" t="str">
        <f t="array" ref="B7:J7">_xll.eqDataRTDQuote(A7,,3)</f>
        <v>153.31</v>
      </c>
      <c r="C7" s="2" t="str">
        <v>-0.56</v>
      </c>
      <c r="D7" s="2" t="str">
        <v>-0.00364</v>
      </c>
      <c r="E7" s="2" t="str">
        <v>153.31</v>
      </c>
      <c r="F7" s="2" t="str">
        <v>153.31</v>
      </c>
      <c r="G7" s="2" t="str">
        <v>153.33</v>
      </c>
      <c r="H7" s="2" t="str">
        <v>153.31</v>
      </c>
      <c r="I7" s="2" t="str">
        <v>153.31</v>
      </c>
      <c r="J7" s="2" t="str">
        <v>24988014</v>
      </c>
      <c r="K7" s="2">
        <v>-114</v>
      </c>
      <c r="L7" s="2">
        <f t="shared" si="0"/>
        <v>63.84</v>
      </c>
    </row>
    <row r="8" spans="1:12" x14ac:dyDescent="0.25">
      <c r="A8" s="8" t="s">
        <v>15</v>
      </c>
      <c r="B8" s="8" t="str">
        <f t="array" ref="B8:J8">_xll.eqDataRTDQuote(A8,,3)</f>
        <v>234.28</v>
      </c>
      <c r="C8" s="2" t="str">
        <v>-0.38</v>
      </c>
      <c r="D8" s="2" t="str">
        <v>-0.00162</v>
      </c>
      <c r="E8" s="8" t="str">
        <v>234.28</v>
      </c>
      <c r="F8" s="8" t="str">
        <v>234.28</v>
      </c>
      <c r="G8" s="8" t="str">
        <v>233.97</v>
      </c>
      <c r="H8" s="8" t="str">
        <v>234.28</v>
      </c>
      <c r="I8" s="8" t="str">
        <v>234.28</v>
      </c>
      <c r="J8" s="8" t="str">
        <v>2538307</v>
      </c>
      <c r="K8" s="8">
        <v>-61</v>
      </c>
      <c r="L8" s="8">
        <f t="shared" si="0"/>
        <v>23.18</v>
      </c>
    </row>
    <row r="9" spans="1:12" x14ac:dyDescent="0.25">
      <c r="A9" s="2" t="s">
        <v>7</v>
      </c>
      <c r="B9" s="2" t="str">
        <f t="array" ref="B9:J9">_xll.eqDataRTDQuote(A9,,3)</f>
        <v>121.56</v>
      </c>
      <c r="C9" s="2" t="str">
        <v>0.25</v>
      </c>
      <c r="D9" s="2" t="str">
        <v>0.00206</v>
      </c>
      <c r="E9" s="2" t="str">
        <v>121.56</v>
      </c>
      <c r="F9" s="2" t="str">
        <v>121.56</v>
      </c>
      <c r="G9" s="2" t="str">
        <v>120.9</v>
      </c>
      <c r="H9" s="2" t="str">
        <v>121.56</v>
      </c>
      <c r="I9" s="2" t="str">
        <v>121.56</v>
      </c>
      <c r="J9" s="2" t="str">
        <v>6182145</v>
      </c>
      <c r="K9" s="2">
        <v>1230</v>
      </c>
      <c r="L9" s="2">
        <f t="shared" si="0"/>
        <v>307.5</v>
      </c>
    </row>
    <row r="10" spans="1:12" x14ac:dyDescent="0.25">
      <c r="A10" s="8" t="s">
        <v>26</v>
      </c>
      <c r="B10" s="8" t="str">
        <f t="array" ref="B10:J10">_xll.eqDataRTDQuote(A10,,3)</f>
        <v>11.13</v>
      </c>
      <c r="C10" s="2" t="str">
        <v>-0.25</v>
      </c>
      <c r="D10" s="2" t="str">
        <v>-0.02197</v>
      </c>
      <c r="E10" s="8" t="str">
        <v>11.13</v>
      </c>
      <c r="F10" s="8" t="str">
        <v>11.13</v>
      </c>
      <c r="G10" s="8" t="str">
        <v>11.35</v>
      </c>
      <c r="H10" s="8" t="str">
        <v>11.13</v>
      </c>
      <c r="I10" s="8" t="str">
        <v>11.13</v>
      </c>
      <c r="J10" s="8" t="str">
        <v>21414086</v>
      </c>
      <c r="K10" s="8">
        <v>-52</v>
      </c>
      <c r="L10" s="8">
        <f t="shared" si="0"/>
        <v>13</v>
      </c>
    </row>
    <row r="11" spans="1:12" x14ac:dyDescent="0.25">
      <c r="A11" s="2" t="s">
        <v>8</v>
      </c>
      <c r="B11" s="2" t="str">
        <f t="array" ref="B11:J11">_xll.eqDataRTDQuote(A11,,3)</f>
        <v>125.2</v>
      </c>
      <c r="C11" s="2" t="str">
        <v>0.84</v>
      </c>
      <c r="D11" s="2" t="str">
        <v>0.00675</v>
      </c>
      <c r="E11" s="2" t="str">
        <v>125.2</v>
      </c>
      <c r="F11" s="2" t="str">
        <v>125.2</v>
      </c>
      <c r="G11" s="2" t="str">
        <v>124.8</v>
      </c>
      <c r="H11" s="2" t="str">
        <v>125.2</v>
      </c>
      <c r="I11" s="2" t="str">
        <v>125.2</v>
      </c>
      <c r="J11" s="2" t="str">
        <v>6099097</v>
      </c>
      <c r="K11" s="2">
        <v>175</v>
      </c>
      <c r="L11" s="2">
        <f t="shared" si="0"/>
        <v>147</v>
      </c>
    </row>
    <row r="12" spans="1:12" x14ac:dyDescent="0.25">
      <c r="A12" s="8" t="s">
        <v>9</v>
      </c>
      <c r="B12" s="8" t="str">
        <f t="array" ref="B12:J12">_xll.eqDataRTDQuote(A12,,3)</f>
        <v>178.07</v>
      </c>
      <c r="C12" s="2" t="str">
        <v>-0.7</v>
      </c>
      <c r="D12" s="2" t="str">
        <v>-0.00392</v>
      </c>
      <c r="E12" s="8" t="str">
        <v>178.07</v>
      </c>
      <c r="F12" s="8" t="str">
        <v>178.07</v>
      </c>
      <c r="G12" s="8" t="str">
        <v>178</v>
      </c>
      <c r="H12" s="8" t="str">
        <v>178.07</v>
      </c>
      <c r="I12" s="8" t="str">
        <v>178.07</v>
      </c>
      <c r="J12" s="8" t="str">
        <v>9424707</v>
      </c>
      <c r="K12" s="8">
        <v>-410</v>
      </c>
      <c r="L12" s="8">
        <f t="shared" si="0"/>
        <v>287</v>
      </c>
    </row>
    <row r="13" spans="1:12" x14ac:dyDescent="0.25">
      <c r="A13" s="2" t="s">
        <v>11</v>
      </c>
      <c r="B13" s="2" t="str">
        <f t="array" ref="B13:J13">_xll.eqDataRTDQuote(A13,,3)</f>
        <v>308.7</v>
      </c>
      <c r="C13" s="2" t="str">
        <v>-6.7</v>
      </c>
      <c r="D13" s="2" t="str">
        <v>-0.02124</v>
      </c>
      <c r="E13" s="2" t="str">
        <v>308.7</v>
      </c>
      <c r="F13" s="2" t="str">
        <v>308.7</v>
      </c>
      <c r="G13" s="2" t="str">
        <v>315</v>
      </c>
      <c r="H13" s="2" t="str">
        <v>308.7</v>
      </c>
      <c r="I13" s="2" t="str">
        <v>308.7</v>
      </c>
      <c r="J13" s="2" t="str">
        <v>5637759</v>
      </c>
      <c r="K13" s="2">
        <v>-52</v>
      </c>
      <c r="L13" s="2">
        <f t="shared" si="0"/>
        <v>348.40000000000003</v>
      </c>
    </row>
    <row r="14" spans="1:12" x14ac:dyDescent="0.25">
      <c r="A14" s="8" t="s">
        <v>6</v>
      </c>
      <c r="B14" s="8" t="str">
        <f t="array" ref="B14:J14">_xll.eqDataRTDQuote(A14,,3)</f>
        <v>1041.64</v>
      </c>
      <c r="C14" s="2" t="str">
        <v>0.44</v>
      </c>
      <c r="D14" s="2" t="str">
        <v>0.00042</v>
      </c>
      <c r="E14" s="8" t="str">
        <v>1041.64</v>
      </c>
      <c r="F14" s="8" t="str">
        <v>1041.64</v>
      </c>
      <c r="G14" s="8" t="str">
        <v>1037.72</v>
      </c>
      <c r="H14" s="8" t="str">
        <v>1041.64</v>
      </c>
      <c r="I14" s="8" t="str">
        <v>1041.64</v>
      </c>
      <c r="J14" s="8" t="str">
        <v>1076878</v>
      </c>
      <c r="K14" s="8">
        <v>114</v>
      </c>
      <c r="L14" s="8">
        <f t="shared" si="0"/>
        <v>50.160000000000004</v>
      </c>
    </row>
    <row r="15" spans="1:12" x14ac:dyDescent="0.25">
      <c r="A15" s="2" t="s">
        <v>14</v>
      </c>
      <c r="B15" s="2" t="str">
        <f t="array" ref="B15:J15">_xll.eqDataRTDQuote(A15,,3)</f>
        <v>39.61</v>
      </c>
      <c r="C15" s="2" t="str">
        <v>-0.27</v>
      </c>
      <c r="D15" s="2" t="str">
        <v>-0.00677</v>
      </c>
      <c r="E15" s="2" t="str">
        <v>39.61</v>
      </c>
      <c r="F15" s="2" t="str">
        <v>39.61</v>
      </c>
      <c r="G15" s="2" t="str">
        <v>39.8</v>
      </c>
      <c r="H15" s="2" t="str">
        <v>39.61</v>
      </c>
      <c r="I15" s="2" t="str">
        <v>39.61</v>
      </c>
      <c r="J15" s="2" t="str">
        <v>3928655</v>
      </c>
      <c r="K15" s="2">
        <v>194</v>
      </c>
      <c r="L15" s="2">
        <f t="shared" si="0"/>
        <v>-52.38</v>
      </c>
    </row>
    <row r="16" spans="1:12" x14ac:dyDescent="0.25">
      <c r="A16" s="8" t="s">
        <v>0</v>
      </c>
      <c r="B16" s="8" t="str">
        <f t="array" ref="B16:J16">_xll.eqDataRTDQuote(A16,,3)</f>
        <v>171.34</v>
      </c>
      <c r="C16" s="2" t="str">
        <v>-2.63</v>
      </c>
      <c r="D16" s="2" t="str">
        <v>-0.01512</v>
      </c>
      <c r="E16" s="8" t="str">
        <v>171.34</v>
      </c>
      <c r="F16" s="8" t="str">
        <v>171.34</v>
      </c>
      <c r="G16" s="8" t="str">
        <v>173.05</v>
      </c>
      <c r="H16" s="8" t="str">
        <v>171.34</v>
      </c>
      <c r="I16" s="8" t="str">
        <v>171.34</v>
      </c>
      <c r="J16" s="8" t="str">
        <v>23495575</v>
      </c>
      <c r="K16" s="8">
        <v>-187</v>
      </c>
      <c r="L16" s="8">
        <f t="shared" si="0"/>
        <v>491.81</v>
      </c>
    </row>
    <row r="17" spans="1:12" x14ac:dyDescent="0.25">
      <c r="A17" s="2" t="s">
        <v>16</v>
      </c>
      <c r="B17" s="2" t="str">
        <f t="array" ref="B17:J17">_xll.eqDataRTDQuote(A17,,3)</f>
        <v>1136.84</v>
      </c>
      <c r="C17" s="2" t="str">
        <v>7.67</v>
      </c>
      <c r="D17" s="2" t="str">
        <v>0.00679</v>
      </c>
      <c r="E17" s="2" t="str">
        <v>1136.84</v>
      </c>
      <c r="F17" s="2" t="str">
        <v>1136.84</v>
      </c>
      <c r="G17" s="2" t="str">
        <v>1130.11</v>
      </c>
      <c r="H17" s="2" t="str">
        <v>1136.84</v>
      </c>
      <c r="I17" s="2" t="str">
        <v>1136.84</v>
      </c>
      <c r="J17" s="2" t="str">
        <v>3034344</v>
      </c>
      <c r="K17" s="2">
        <v>-200</v>
      </c>
      <c r="L17" s="2">
        <f t="shared" si="0"/>
        <v>-1534</v>
      </c>
    </row>
    <row r="18" spans="1:12" x14ac:dyDescent="0.25">
      <c r="A18" s="8" t="s">
        <v>31</v>
      </c>
      <c r="B18" s="8" t="str">
        <f t="array" ref="B18:J18">_xll.eqDataRTDQuote(A18,,3)</f>
        <v>51.85</v>
      </c>
      <c r="C18" s="2" t="str">
        <v>0.83</v>
      </c>
      <c r="D18" s="2" t="str">
        <v>0.01627</v>
      </c>
      <c r="E18" s="8" t="str">
        <v>51.85</v>
      </c>
      <c r="F18" s="8" t="str">
        <v>51.85</v>
      </c>
      <c r="G18" s="8" t="str">
        <v>50.64</v>
      </c>
      <c r="H18" s="8" t="str">
        <v>51.85</v>
      </c>
      <c r="I18" s="8" t="str">
        <v>51.85</v>
      </c>
      <c r="J18" s="8" t="str">
        <v>6139831</v>
      </c>
      <c r="K18" s="8">
        <v>300</v>
      </c>
      <c r="L18" s="8">
        <f t="shared" si="0"/>
        <v>249</v>
      </c>
    </row>
    <row r="19" spans="1:12" x14ac:dyDescent="0.25">
      <c r="A19" s="9" t="s">
        <v>27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2">
        <f>SUM(L3:L18)</f>
        <v>9.3399999999999181</v>
      </c>
    </row>
    <row r="20" spans="1:12" x14ac:dyDescent="0.25">
      <c r="A20" s="11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2">
        <f>SUMIF(L3:L18,"&gt;0",L3:L18)</f>
        <v>2032.89</v>
      </c>
    </row>
    <row r="21" spans="1:12" x14ac:dyDescent="0.25">
      <c r="A21" s="11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>
        <f>SUMIF(L3:L18,"&lt;0",L3:L18)</f>
        <v>-2023.55</v>
      </c>
    </row>
    <row r="22" spans="1:12" x14ac:dyDescent="0.25">
      <c r="A22" t="s">
        <v>32</v>
      </c>
    </row>
  </sheetData>
  <autoFilter ref="A2:J2"/>
  <conditionalFormatting sqref="C3:C18">
    <cfRule type="expression" dxfId="5" priority="13">
      <formula>LEFT(C3,1)&lt;&gt;"-"</formula>
    </cfRule>
    <cfRule type="expression" dxfId="4" priority="14">
      <formula>LEFT(C3,1)="-"</formula>
    </cfRule>
  </conditionalFormatting>
  <conditionalFormatting sqref="D3:D18">
    <cfRule type="expression" dxfId="3" priority="7">
      <formula>LEFT(D3,1)&lt;&gt;"-"</formula>
    </cfRule>
    <cfRule type="expression" dxfId="2" priority="8">
      <formula>LEFT(D3,1)="-"</formula>
    </cfRule>
  </conditionalFormatting>
  <conditionalFormatting sqref="L19:L21">
    <cfRule type="expression" dxfId="1" priority="1">
      <formula>LEFT(L19,1)&lt;&gt;"-"</formula>
    </cfRule>
    <cfRule type="expression" dxfId="0" priority="2">
      <formula>LEFT(L19,1)="-"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Live</vt:lpstr>
    </vt:vector>
  </TitlesOfParts>
  <Company>Exelon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2015-06-12T13:38:21Z</dcterms:created>
  <dcterms:modified xsi:type="dcterms:W3CDTF">2017-11-15T02:41:19Z</dcterms:modified>
</cp:coreProperties>
</file>