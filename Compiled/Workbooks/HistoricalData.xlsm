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\EliteQuant_Excel\Compiled\Workbooks\"/>
    </mc:Choice>
  </mc:AlternateContent>
  <bookViews>
    <workbookView minimized="1" xWindow="480" yWindow="135" windowWidth="18195" windowHeight="11760" firstSheet="1" activeTab="1"/>
  </bookViews>
  <sheets>
    <sheet name="Live" sheetId="1" state="hidden" r:id="rId1"/>
    <sheet name="Historical" sheetId="2" r:id="rId2"/>
  </sheets>
  <definedNames>
    <definedName name="_xlnm._FilterDatabase" localSheetId="0" hidden="1">Live!$A$2:$J$2</definedName>
    <definedName name="EndDate">Historical!$P$3</definedName>
    <definedName name="Freq">Historical!$P$4</definedName>
    <definedName name="IsDes">Historical!$P$5</definedName>
    <definedName name="StartDate">Historical!$P$2</definedName>
    <definedName name="Symbol">Historical!$P$1</definedName>
  </definedNames>
  <calcPr calcId="162913"/>
</workbook>
</file>

<file path=xl/calcChain.xml><?xml version="1.0" encoding="utf-8"?>
<calcChain xmlns="http://schemas.openxmlformats.org/spreadsheetml/2006/main">
  <c r="P3" i="2" l="1"/>
  <c r="P2" i="2" s="1"/>
  <c r="B3" i="1" a="1"/>
  <c r="F3" i="1"/>
  <c r="E3" i="1"/>
  <c r="B3" i="1"/>
  <c r="I3" i="1"/>
  <c r="D3" i="1"/>
  <c r="H3" i="1"/>
  <c r="G3" i="1"/>
  <c r="C3" i="1"/>
  <c r="B1" i="1"/>
  <c r="J3" i="1"/>
  <c r="L18" i="1" l="1"/>
  <c r="L5" i="1"/>
  <c r="L15" i="1"/>
  <c r="L11" i="1"/>
  <c r="L14" i="1"/>
  <c r="L8" i="1"/>
  <c r="L6" i="1"/>
  <c r="L7" i="1"/>
  <c r="L3" i="1"/>
  <c r="L16" i="1"/>
  <c r="L17" i="1"/>
  <c r="L13" i="1"/>
  <c r="L12" i="1"/>
  <c r="L9" i="1"/>
  <c r="L4" i="1"/>
  <c r="L10" i="1"/>
  <c r="L20" i="1" l="1"/>
  <c r="L19" i="1"/>
  <c r="L21" i="1"/>
</calcChain>
</file>

<file path=xl/sharedStrings.xml><?xml version="1.0" encoding="utf-8"?>
<sst xmlns="http://schemas.openxmlformats.org/spreadsheetml/2006/main" count="52" uniqueCount="47">
  <si>
    <t>AAPL</t>
  </si>
  <si>
    <t>Ticker</t>
  </si>
  <si>
    <t>Price</t>
  </si>
  <si>
    <t>Change</t>
  </si>
  <si>
    <t>% Change</t>
  </si>
  <si>
    <t>Time</t>
  </si>
  <si>
    <t>GOOGL</t>
  </si>
  <si>
    <t>GLD</t>
  </si>
  <si>
    <t>TLT</t>
  </si>
  <si>
    <t>FB</t>
  </si>
  <si>
    <t>XIV</t>
  </si>
  <si>
    <t>TSLA</t>
  </si>
  <si>
    <t>QQQ</t>
  </si>
  <si>
    <t>SPY</t>
  </si>
  <si>
    <t>BP</t>
  </si>
  <si>
    <t>DIA</t>
  </si>
  <si>
    <t>AMZN</t>
  </si>
  <si>
    <t>LNKD</t>
  </si>
  <si>
    <t>Bid</t>
  </si>
  <si>
    <t>Ask</t>
  </si>
  <si>
    <t>High</t>
  </si>
  <si>
    <t>Low</t>
  </si>
  <si>
    <t>Volume</t>
  </si>
  <si>
    <t>Size</t>
  </si>
  <si>
    <t>Open</t>
  </si>
  <si>
    <t>VXX</t>
  </si>
  <si>
    <t>UVXY</t>
  </si>
  <si>
    <t>USO</t>
  </si>
  <si>
    <t>Total</t>
  </si>
  <si>
    <t>PnL</t>
  </si>
  <si>
    <t>Long Side</t>
  </si>
  <si>
    <t>Short Side</t>
  </si>
  <si>
    <t>Symbol</t>
  </si>
  <si>
    <t>StartDate</t>
  </si>
  <si>
    <t>EndDate</t>
  </si>
  <si>
    <t>Frequency</t>
  </si>
  <si>
    <t>IsDescending</t>
  </si>
  <si>
    <t>Date</t>
  </si>
  <si>
    <t>Close</t>
  </si>
  <si>
    <t>d</t>
  </si>
  <si>
    <t>Ex-Dividend</t>
  </si>
  <si>
    <t>Split Ratio</t>
  </si>
  <si>
    <t>Adj. Open</t>
  </si>
  <si>
    <t>Adj. High</t>
  </si>
  <si>
    <t>Adj. Low</t>
  </si>
  <si>
    <t>Adj. Close</t>
  </si>
  <si>
    <t>Adj.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</si>
</sst>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:ss;@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2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0" fillId="6" borderId="1" xfId="0" applyFill="1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0" fontId="0" fillId="6" borderId="9" xfId="0" applyFill="1" applyBorder="1" applyAlignment="1">
      <alignment horizontal="left" vertical="center"/>
    </xf>
    <xf numFmtId="0" fontId="0" fillId="7" borderId="3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14" fontId="0" fillId="7" borderId="6" xfId="0" applyNumberFormat="1" applyFill="1" applyBorder="1" applyAlignment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58b958bb01084e568985753af37c1725">
      <tp t="s">
        <v>#WAIT</v>
        <stp/>
        <stp>3</stp>
        <stp>RealTimeQuote</stp>
        <stp/>
        <stp>SPY</stp>
        <tr r="J3" s="1"/>
        <tr r="C3" s="1"/>
        <tr r="G3" s="1"/>
        <tr r="H3" s="1"/>
        <tr r="D3" s="1"/>
        <tr r="I3" s="1"/>
        <tr r="B3" s="1"/>
        <tr r="E3" s="1"/>
        <tr r="F3" s="1"/>
      </tp>
    </main>
    <main first="rtdsrv.58b958bb01084e568985753af37c1725">
      <tp t="s">
        <v>17:19:33</v>
        <stp/>
        <stp>3</stp>
        <stp>NOW</stp>
        <tr r="B1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AMZN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v>Open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Lit>
              <c:ptCount val="139"/>
              <c:pt idx="0">
                <c:v>4/24/2017</c:v>
              </c:pt>
              <c:pt idx="1">
                <c:v>4/25/2017</c:v>
              </c:pt>
              <c:pt idx="2">
                <c:v>4/26/2017</c:v>
              </c:pt>
              <c:pt idx="3">
                <c:v>4/27/2017</c:v>
              </c:pt>
              <c:pt idx="4">
                <c:v>4/28/2017</c:v>
              </c:pt>
              <c:pt idx="5">
                <c:v>5/1/2017</c:v>
              </c:pt>
              <c:pt idx="6">
                <c:v>5/2/2017</c:v>
              </c:pt>
              <c:pt idx="7">
                <c:v>5/3/2017</c:v>
              </c:pt>
              <c:pt idx="8">
                <c:v>5/4/2017</c:v>
              </c:pt>
              <c:pt idx="9">
                <c:v>5/5/2017</c:v>
              </c:pt>
              <c:pt idx="10">
                <c:v>5/8/2017</c:v>
              </c:pt>
              <c:pt idx="11">
                <c:v>5/9/2017</c:v>
              </c:pt>
              <c:pt idx="12">
                <c:v>5/10/2017</c:v>
              </c:pt>
              <c:pt idx="13">
                <c:v>5/11/2017</c:v>
              </c:pt>
              <c:pt idx="14">
                <c:v>5/12/2017</c:v>
              </c:pt>
              <c:pt idx="15">
                <c:v>5/15/2017</c:v>
              </c:pt>
              <c:pt idx="16">
                <c:v>5/16/2017</c:v>
              </c:pt>
              <c:pt idx="17">
                <c:v>5/17/2017</c:v>
              </c:pt>
              <c:pt idx="18">
                <c:v>5/18/2017</c:v>
              </c:pt>
              <c:pt idx="19">
                <c:v>5/19/2017</c:v>
              </c:pt>
              <c:pt idx="20">
                <c:v>5/22/2017</c:v>
              </c:pt>
              <c:pt idx="21">
                <c:v>5/23/2017</c:v>
              </c:pt>
              <c:pt idx="22">
                <c:v>5/24/2017</c:v>
              </c:pt>
              <c:pt idx="23">
                <c:v>5/25/2017</c:v>
              </c:pt>
              <c:pt idx="24">
                <c:v>5/26/2017</c:v>
              </c:pt>
              <c:pt idx="25">
                <c:v>5/30/2017</c:v>
              </c:pt>
              <c:pt idx="26">
                <c:v>5/31/2017</c:v>
              </c:pt>
              <c:pt idx="27">
                <c:v>6/1/2017</c:v>
              </c:pt>
              <c:pt idx="28">
                <c:v>6/2/2017</c:v>
              </c:pt>
              <c:pt idx="29">
                <c:v>6/5/2017</c:v>
              </c:pt>
              <c:pt idx="30">
                <c:v>6/6/2017</c:v>
              </c:pt>
              <c:pt idx="31">
                <c:v>6/7/2017</c:v>
              </c:pt>
              <c:pt idx="32">
                <c:v>6/8/2017</c:v>
              </c:pt>
              <c:pt idx="33">
                <c:v>6/9/2017</c:v>
              </c:pt>
              <c:pt idx="34">
                <c:v>6/12/2017</c:v>
              </c:pt>
              <c:pt idx="35">
                <c:v>6/13/2017</c:v>
              </c:pt>
              <c:pt idx="36">
                <c:v>6/14/2017</c:v>
              </c:pt>
              <c:pt idx="37">
                <c:v>6/15/2017</c:v>
              </c:pt>
              <c:pt idx="38">
                <c:v>6/16/2017</c:v>
              </c:pt>
              <c:pt idx="39">
                <c:v>6/19/2017</c:v>
              </c:pt>
              <c:pt idx="40">
                <c:v>6/20/2017</c:v>
              </c:pt>
              <c:pt idx="41">
                <c:v>6/21/2017</c:v>
              </c:pt>
              <c:pt idx="42">
                <c:v>6/22/2017</c:v>
              </c:pt>
              <c:pt idx="43">
                <c:v>6/23/2017</c:v>
              </c:pt>
              <c:pt idx="44">
                <c:v>6/26/2017</c:v>
              </c:pt>
              <c:pt idx="45">
                <c:v>6/27/2017</c:v>
              </c:pt>
              <c:pt idx="46">
                <c:v>6/28/2017</c:v>
              </c:pt>
              <c:pt idx="47">
                <c:v>6/29/2017</c:v>
              </c:pt>
              <c:pt idx="48">
                <c:v>6/30/2017</c:v>
              </c:pt>
              <c:pt idx="49">
                <c:v>7/3/2017</c:v>
              </c:pt>
              <c:pt idx="50">
                <c:v>7/5/2017</c:v>
              </c:pt>
              <c:pt idx="51">
                <c:v>7/6/2017</c:v>
              </c:pt>
              <c:pt idx="52">
                <c:v>7/7/2017</c:v>
              </c:pt>
              <c:pt idx="53">
                <c:v>7/10/2017</c:v>
              </c:pt>
              <c:pt idx="54">
                <c:v>7/11/2017</c:v>
              </c:pt>
              <c:pt idx="55">
                <c:v>7/12/2017</c:v>
              </c:pt>
              <c:pt idx="56">
                <c:v>7/13/2017</c:v>
              </c:pt>
              <c:pt idx="57">
                <c:v>7/14/2017</c:v>
              </c:pt>
              <c:pt idx="58">
                <c:v>7/17/2017</c:v>
              </c:pt>
              <c:pt idx="59">
                <c:v>7/18/2017</c:v>
              </c:pt>
              <c:pt idx="60">
                <c:v>7/19/2017</c:v>
              </c:pt>
              <c:pt idx="61">
                <c:v>7/20/2017</c:v>
              </c:pt>
              <c:pt idx="62">
                <c:v>7/21/2017</c:v>
              </c:pt>
              <c:pt idx="63">
                <c:v>7/24/2017</c:v>
              </c:pt>
              <c:pt idx="64">
                <c:v>7/25/2017</c:v>
              </c:pt>
              <c:pt idx="65">
                <c:v>7/26/2017</c:v>
              </c:pt>
              <c:pt idx="66">
                <c:v>7/27/2017</c:v>
              </c:pt>
              <c:pt idx="67">
                <c:v>7/28/2017</c:v>
              </c:pt>
              <c:pt idx="68">
                <c:v>7/31/2017</c:v>
              </c:pt>
              <c:pt idx="69">
                <c:v>8/1/2017</c:v>
              </c:pt>
              <c:pt idx="70">
                <c:v>8/2/2017</c:v>
              </c:pt>
              <c:pt idx="71">
                <c:v>8/3/2017</c:v>
              </c:pt>
              <c:pt idx="72">
                <c:v>8/4/2017</c:v>
              </c:pt>
              <c:pt idx="73">
                <c:v>8/8/2017</c:v>
              </c:pt>
              <c:pt idx="74">
                <c:v>8/9/2017</c:v>
              </c:pt>
              <c:pt idx="75">
                <c:v>8/10/2017</c:v>
              </c:pt>
              <c:pt idx="76">
                <c:v>8/11/2017</c:v>
              </c:pt>
              <c:pt idx="77">
                <c:v>8/14/2017</c:v>
              </c:pt>
              <c:pt idx="78">
                <c:v>8/15/2017</c:v>
              </c:pt>
              <c:pt idx="79">
                <c:v>8/16/2017</c:v>
              </c:pt>
              <c:pt idx="80">
                <c:v>8/17/2017</c:v>
              </c:pt>
              <c:pt idx="81">
                <c:v>8/18/2017</c:v>
              </c:pt>
              <c:pt idx="82">
                <c:v>8/21/2017</c:v>
              </c:pt>
              <c:pt idx="83">
                <c:v>8/22/2017</c:v>
              </c:pt>
              <c:pt idx="84">
                <c:v>8/23/2017</c:v>
              </c:pt>
              <c:pt idx="85">
                <c:v>8/24/2017</c:v>
              </c:pt>
              <c:pt idx="86">
                <c:v>8/25/2017</c:v>
              </c:pt>
              <c:pt idx="87">
                <c:v>8/28/2017</c:v>
              </c:pt>
              <c:pt idx="88">
                <c:v>8/29/2017</c:v>
              </c:pt>
              <c:pt idx="89">
                <c:v>8/30/2017</c:v>
              </c:pt>
              <c:pt idx="90">
                <c:v>8/31/2017</c:v>
              </c:pt>
              <c:pt idx="91">
                <c:v>9/1/2017</c:v>
              </c:pt>
              <c:pt idx="92">
                <c:v>9/5/2017</c:v>
              </c:pt>
              <c:pt idx="93">
                <c:v>9/6/2017</c:v>
              </c:pt>
              <c:pt idx="94">
                <c:v>9/7/2017</c:v>
              </c:pt>
              <c:pt idx="95">
                <c:v>9/8/2017</c:v>
              </c:pt>
              <c:pt idx="96">
                <c:v>9/11/2017</c:v>
              </c:pt>
              <c:pt idx="97">
                <c:v>9/12/2017</c:v>
              </c:pt>
              <c:pt idx="98">
                <c:v>9/13/2017</c:v>
              </c:pt>
              <c:pt idx="99">
                <c:v>9/14/2017</c:v>
              </c:pt>
              <c:pt idx="100">
                <c:v>9/15/2017</c:v>
              </c:pt>
              <c:pt idx="101">
                <c:v>9/18/2017</c:v>
              </c:pt>
              <c:pt idx="102">
                <c:v>9/19/2017</c:v>
              </c:pt>
              <c:pt idx="103">
                <c:v>9/20/2017</c:v>
              </c:pt>
              <c:pt idx="104">
                <c:v>9/21/2017</c:v>
              </c:pt>
              <c:pt idx="105">
                <c:v>9/22/2017</c:v>
              </c:pt>
              <c:pt idx="106">
                <c:v>9/25/2017</c:v>
              </c:pt>
              <c:pt idx="107">
                <c:v>9/26/2017</c:v>
              </c:pt>
              <c:pt idx="108">
                <c:v>9/27/2017</c:v>
              </c:pt>
              <c:pt idx="109">
                <c:v>9/28/2017</c:v>
              </c:pt>
              <c:pt idx="110">
                <c:v>9/29/2017</c:v>
              </c:pt>
              <c:pt idx="111">
                <c:v>10/2/2017</c:v>
              </c:pt>
              <c:pt idx="112">
                <c:v>10/3/2017</c:v>
              </c:pt>
              <c:pt idx="113">
                <c:v>10/4/2017</c:v>
              </c:pt>
              <c:pt idx="114">
                <c:v>10/5/2017</c:v>
              </c:pt>
              <c:pt idx="115">
                <c:v>10/6/2017</c:v>
              </c:pt>
              <c:pt idx="116">
                <c:v>10/9/2017</c:v>
              </c:pt>
              <c:pt idx="117">
                <c:v>10/10/2017</c:v>
              </c:pt>
              <c:pt idx="118">
                <c:v>10/11/2017</c:v>
              </c:pt>
              <c:pt idx="119">
                <c:v>10/12/2017</c:v>
              </c:pt>
              <c:pt idx="120">
                <c:v>10/13/2017</c:v>
              </c:pt>
              <c:pt idx="121">
                <c:v>10/16/2017</c:v>
              </c:pt>
              <c:pt idx="122">
                <c:v>10/17/2017</c:v>
              </c:pt>
              <c:pt idx="123">
                <c:v>10/18/2017</c:v>
              </c:pt>
              <c:pt idx="124">
                <c:v>10/19/2017</c:v>
              </c:pt>
              <c:pt idx="125">
                <c:v>10/20/2017</c:v>
              </c:pt>
              <c:pt idx="126">
                <c:v>10/23/2017</c:v>
              </c:pt>
              <c:pt idx="127">
                <c:v>10/24/2017</c:v>
              </c:pt>
              <c:pt idx="128">
                <c:v>10/25/2017</c:v>
              </c:pt>
              <c:pt idx="129">
                <c:v>10/26/2017</c:v>
              </c:pt>
              <c:pt idx="130">
                <c:v>10/27/2017</c:v>
              </c:pt>
              <c:pt idx="131">
                <c:v>10/30/2017</c:v>
              </c:pt>
              <c:pt idx="132">
                <c:v>10/31/2017</c:v>
              </c:pt>
              <c:pt idx="133">
                <c:v>11/1/2017</c:v>
              </c:pt>
              <c:pt idx="134">
                <c:v>11/2/2017</c:v>
              </c:pt>
              <c:pt idx="135">
                <c:v>11/3/2017</c:v>
              </c:pt>
              <c:pt idx="136">
                <c:v>11/6/2017</c:v>
              </c:pt>
              <c:pt idx="137">
                <c:v>11/7/2017</c:v>
              </c:pt>
              <c:pt idx="138">
                <c:v>11/9/2017</c:v>
              </c:pt>
            </c:strLit>
          </c:cat>
          <c:val>
            <c:numLit>
              <c:formatCode>General</c:formatCode>
              <c:ptCount val="139"/>
              <c:pt idx="0">
                <c:v>908.68</c:v>
              </c:pt>
              <c:pt idx="1">
                <c:v>907.04</c:v>
              </c:pt>
              <c:pt idx="2">
                <c:v>910.3</c:v>
              </c:pt>
              <c:pt idx="3">
                <c:v>914.39</c:v>
              </c:pt>
              <c:pt idx="4">
                <c:v>948.83</c:v>
              </c:pt>
              <c:pt idx="5">
                <c:v>927.8</c:v>
              </c:pt>
              <c:pt idx="6">
                <c:v>946.64499999999998</c:v>
              </c:pt>
              <c:pt idx="7">
                <c:v>946</c:v>
              </c:pt>
              <c:pt idx="8">
                <c:v>944.75</c:v>
              </c:pt>
              <c:pt idx="9">
                <c:v>940.52</c:v>
              </c:pt>
              <c:pt idx="10">
                <c:v>940.95</c:v>
              </c:pt>
              <c:pt idx="11">
                <c:v>952.8</c:v>
              </c:pt>
              <c:pt idx="12">
                <c:v>953.5</c:v>
              </c:pt>
              <c:pt idx="13">
                <c:v>945.11</c:v>
              </c:pt>
              <c:pt idx="14">
                <c:v>954.5</c:v>
              </c:pt>
              <c:pt idx="15">
                <c:v>958.73</c:v>
              </c:pt>
              <c:pt idx="16">
                <c:v>961</c:v>
              </c:pt>
              <c:pt idx="17">
                <c:v>954.7</c:v>
              </c:pt>
              <c:pt idx="18">
                <c:v>944.8</c:v>
              </c:pt>
              <c:pt idx="19">
                <c:v>962.84</c:v>
              </c:pt>
              <c:pt idx="20">
                <c:v>964</c:v>
              </c:pt>
              <c:pt idx="21">
                <c:v>975.02</c:v>
              </c:pt>
              <c:pt idx="22">
                <c:v>976</c:v>
              </c:pt>
              <c:pt idx="23">
                <c:v>984.85</c:v>
              </c:pt>
              <c:pt idx="24">
                <c:v>995</c:v>
              </c:pt>
              <c:pt idx="25">
                <c:v>996.51</c:v>
              </c:pt>
              <c:pt idx="26">
                <c:v>1000</c:v>
              </c:pt>
              <c:pt idx="27">
                <c:v>998.59</c:v>
              </c:pt>
              <c:pt idx="28">
                <c:v>998.99</c:v>
              </c:pt>
              <c:pt idx="29">
                <c:v>1007.23</c:v>
              </c:pt>
              <c:pt idx="30">
                <c:v>1012</c:v>
              </c:pt>
              <c:pt idx="31">
                <c:v>1005.95</c:v>
              </c:pt>
              <c:pt idx="32">
                <c:v>1012.06</c:v>
              </c:pt>
              <c:pt idx="33">
                <c:v>1012.5</c:v>
              </c:pt>
              <c:pt idx="34">
                <c:v>967</c:v>
              </c:pt>
              <c:pt idx="35">
                <c:v>977.99</c:v>
              </c:pt>
              <c:pt idx="36">
                <c:v>988.59</c:v>
              </c:pt>
              <c:pt idx="37">
                <c:v>958.7</c:v>
              </c:pt>
              <c:pt idx="38">
                <c:v>996</c:v>
              </c:pt>
              <c:pt idx="39">
                <c:v>1017</c:v>
              </c:pt>
              <c:pt idx="40">
                <c:v>998</c:v>
              </c:pt>
              <c:pt idx="41">
                <c:v>998.7</c:v>
              </c:pt>
              <c:pt idx="42">
                <c:v>1002.23</c:v>
              </c:pt>
              <c:pt idx="43">
                <c:v>1002.54</c:v>
              </c:pt>
              <c:pt idx="44">
                <c:v>1008.5</c:v>
              </c:pt>
              <c:pt idx="45">
                <c:v>990.69</c:v>
              </c:pt>
              <c:pt idx="46">
                <c:v>978.55</c:v>
              </c:pt>
              <c:pt idx="47">
                <c:v>979</c:v>
              </c:pt>
              <c:pt idx="48">
                <c:v>980.12</c:v>
              </c:pt>
              <c:pt idx="49">
                <c:v>972.79</c:v>
              </c:pt>
              <c:pt idx="50">
                <c:v>961.53</c:v>
              </c:pt>
              <c:pt idx="51">
                <c:v>964.66</c:v>
              </c:pt>
              <c:pt idx="52">
                <c:v>969.55</c:v>
              </c:pt>
              <c:pt idx="53">
                <c:v>985</c:v>
              </c:pt>
              <c:pt idx="54">
                <c:v>993</c:v>
              </c:pt>
              <c:pt idx="55">
                <c:v>1000.65</c:v>
              </c:pt>
              <c:pt idx="56">
                <c:v>1004.62</c:v>
              </c:pt>
              <c:pt idx="57">
                <c:v>1002.4</c:v>
              </c:pt>
              <c:pt idx="58">
                <c:v>1004.69</c:v>
              </c:pt>
              <c:pt idx="59">
                <c:v>1006</c:v>
              </c:pt>
              <c:pt idx="60">
                <c:v>1025</c:v>
              </c:pt>
              <c:pt idx="61">
                <c:v>1031.5899999999999</c:v>
              </c:pt>
              <c:pt idx="62">
                <c:v>1021.28</c:v>
              </c:pt>
              <c:pt idx="63">
                <c:v>1028.3399999999999</c:v>
              </c:pt>
              <c:pt idx="64">
                <c:v>1038.05</c:v>
              </c:pt>
              <c:pt idx="65">
                <c:v>1043.2</c:v>
              </c:pt>
              <c:pt idx="66">
                <c:v>1069.55</c:v>
              </c:pt>
              <c:pt idx="67">
                <c:v>1012.14</c:v>
              </c:pt>
              <c:pt idx="68">
                <c:v>1019.05</c:v>
              </c:pt>
              <c:pt idx="69">
                <c:v>996.11</c:v>
              </c:pt>
              <c:pt idx="70">
                <c:v>1001.77</c:v>
              </c:pt>
              <c:pt idx="71">
                <c:v>999.47</c:v>
              </c:pt>
              <c:pt idx="72">
                <c:v>989.68</c:v>
              </c:pt>
              <c:pt idx="73">
                <c:v>994.35</c:v>
              </c:pt>
              <c:pt idx="74">
                <c:v>982.6</c:v>
              </c:pt>
              <c:pt idx="75">
                <c:v>976.29499999999996</c:v>
              </c:pt>
              <c:pt idx="76">
                <c:v>960</c:v>
              </c:pt>
              <c:pt idx="77">
                <c:v>978.41</c:v>
              </c:pt>
              <c:pt idx="78">
                <c:v>988.9</c:v>
              </c:pt>
              <c:pt idx="79">
                <c:v>981.65</c:v>
              </c:pt>
              <c:pt idx="80">
                <c:v>977.84</c:v>
              </c:pt>
              <c:pt idx="81">
                <c:v>961.4</c:v>
              </c:pt>
              <c:pt idx="82">
                <c:v>957.57</c:v>
              </c:pt>
              <c:pt idx="83">
                <c:v>955.52</c:v>
              </c:pt>
              <c:pt idx="84">
                <c:v>959.38</c:v>
              </c:pt>
              <c:pt idx="85">
                <c:v>957.42</c:v>
              </c:pt>
              <c:pt idx="86">
                <c:v>956</c:v>
              </c:pt>
              <c:pt idx="87">
                <c:v>946.54</c:v>
              </c:pt>
              <c:pt idx="88">
                <c:v>940</c:v>
              </c:pt>
              <c:pt idx="89">
                <c:v>958.44</c:v>
              </c:pt>
              <c:pt idx="90">
                <c:v>974.7</c:v>
              </c:pt>
              <c:pt idx="91">
                <c:v>984.2</c:v>
              </c:pt>
              <c:pt idx="92">
                <c:v>975.4</c:v>
              </c:pt>
              <c:pt idx="93">
                <c:v>968.32</c:v>
              </c:pt>
              <c:pt idx="94">
                <c:v>974</c:v>
              </c:pt>
              <c:pt idx="95">
                <c:v>979.1</c:v>
              </c:pt>
              <c:pt idx="96">
                <c:v>974.46</c:v>
              </c:pt>
              <c:pt idx="97">
                <c:v>983.27</c:v>
              </c:pt>
              <c:pt idx="98">
                <c:v>983.97</c:v>
              </c:pt>
              <c:pt idx="99">
                <c:v>996.8</c:v>
              </c:pt>
              <c:pt idx="100">
                <c:v>993.01</c:v>
              </c:pt>
              <c:pt idx="101">
                <c:v>990.4</c:v>
              </c:pt>
              <c:pt idx="102">
                <c:v>977.25</c:v>
              </c:pt>
              <c:pt idx="103">
                <c:v>971.79</c:v>
              </c:pt>
              <c:pt idx="104">
                <c:v>971.31</c:v>
              </c:pt>
              <c:pt idx="105">
                <c:v>961.01</c:v>
              </c:pt>
              <c:pt idx="106">
                <c:v>949.31</c:v>
              </c:pt>
              <c:pt idx="107">
                <c:v>945.49</c:v>
              </c:pt>
              <c:pt idx="108">
                <c:v>948</c:v>
              </c:pt>
              <c:pt idx="109">
                <c:v>951.86</c:v>
              </c:pt>
              <c:pt idx="110">
                <c:v>960.11</c:v>
              </c:pt>
              <c:pt idx="111">
                <c:v>964</c:v>
              </c:pt>
              <c:pt idx="112">
                <c:v>958</c:v>
              </c:pt>
              <c:pt idx="113">
                <c:v>954.21</c:v>
              </c:pt>
              <c:pt idx="114">
                <c:v>970</c:v>
              </c:pt>
              <c:pt idx="115">
                <c:v>975.64</c:v>
              </c:pt>
              <c:pt idx="116">
                <c:v>993.24</c:v>
              </c:pt>
              <c:pt idx="117">
                <c:v>996.67</c:v>
              </c:pt>
              <c:pt idx="118">
                <c:v>991.27</c:v>
              </c:pt>
              <c:pt idx="119">
                <c:v>996.81</c:v>
              </c:pt>
              <c:pt idx="120">
                <c:v>1007</c:v>
              </c:pt>
              <c:pt idx="121">
                <c:v>1008.44</c:v>
              </c:pt>
              <c:pt idx="122">
                <c:v>1005.59</c:v>
              </c:pt>
              <c:pt idx="123">
                <c:v>1009.27</c:v>
              </c:pt>
              <c:pt idx="124">
                <c:v>990</c:v>
              </c:pt>
              <c:pt idx="125">
                <c:v>993.53</c:v>
              </c:pt>
              <c:pt idx="126">
                <c:v>986.73</c:v>
              </c:pt>
              <c:pt idx="127">
                <c:v>969</c:v>
              </c:pt>
              <c:pt idx="128">
                <c:v>978</c:v>
              </c:pt>
              <c:pt idx="129">
                <c:v>980.33</c:v>
              </c:pt>
              <c:pt idx="130">
                <c:v>1058.1400000000001</c:v>
              </c:pt>
              <c:pt idx="131">
                <c:v>1095.01</c:v>
              </c:pt>
              <c:pt idx="132">
                <c:v>1109</c:v>
              </c:pt>
              <c:pt idx="133">
                <c:v>1105.4000000000001</c:v>
              </c:pt>
              <c:pt idx="134">
                <c:v>1097.81</c:v>
              </c:pt>
              <c:pt idx="135">
                <c:v>1091.1500000000001</c:v>
              </c:pt>
              <c:pt idx="136">
                <c:v>1109.1500000000001</c:v>
              </c:pt>
              <c:pt idx="137">
                <c:v>1124.74</c:v>
              </c:pt>
              <c:pt idx="138">
                <c:v>1125.96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D90-46A9-B6DB-580F1BBD0FCC}"/>
            </c:ext>
          </c:extLst>
        </c:ser>
        <c:ser>
          <c:idx val="1"/>
          <c:order val="1"/>
          <c:tx>
            <c:v>High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Lit>
              <c:ptCount val="139"/>
              <c:pt idx="0">
                <c:v>4/24/2017</c:v>
              </c:pt>
              <c:pt idx="1">
                <c:v>4/25/2017</c:v>
              </c:pt>
              <c:pt idx="2">
                <c:v>4/26/2017</c:v>
              </c:pt>
              <c:pt idx="3">
                <c:v>4/27/2017</c:v>
              </c:pt>
              <c:pt idx="4">
                <c:v>4/28/2017</c:v>
              </c:pt>
              <c:pt idx="5">
                <c:v>5/1/2017</c:v>
              </c:pt>
              <c:pt idx="6">
                <c:v>5/2/2017</c:v>
              </c:pt>
              <c:pt idx="7">
                <c:v>5/3/2017</c:v>
              </c:pt>
              <c:pt idx="8">
                <c:v>5/4/2017</c:v>
              </c:pt>
              <c:pt idx="9">
                <c:v>5/5/2017</c:v>
              </c:pt>
              <c:pt idx="10">
                <c:v>5/8/2017</c:v>
              </c:pt>
              <c:pt idx="11">
                <c:v>5/9/2017</c:v>
              </c:pt>
              <c:pt idx="12">
                <c:v>5/10/2017</c:v>
              </c:pt>
              <c:pt idx="13">
                <c:v>5/11/2017</c:v>
              </c:pt>
              <c:pt idx="14">
                <c:v>5/12/2017</c:v>
              </c:pt>
              <c:pt idx="15">
                <c:v>5/15/2017</c:v>
              </c:pt>
              <c:pt idx="16">
                <c:v>5/16/2017</c:v>
              </c:pt>
              <c:pt idx="17">
                <c:v>5/17/2017</c:v>
              </c:pt>
              <c:pt idx="18">
                <c:v>5/18/2017</c:v>
              </c:pt>
              <c:pt idx="19">
                <c:v>5/19/2017</c:v>
              </c:pt>
              <c:pt idx="20">
                <c:v>5/22/2017</c:v>
              </c:pt>
              <c:pt idx="21">
                <c:v>5/23/2017</c:v>
              </c:pt>
              <c:pt idx="22">
                <c:v>5/24/2017</c:v>
              </c:pt>
              <c:pt idx="23">
                <c:v>5/25/2017</c:v>
              </c:pt>
              <c:pt idx="24">
                <c:v>5/26/2017</c:v>
              </c:pt>
              <c:pt idx="25">
                <c:v>5/30/2017</c:v>
              </c:pt>
              <c:pt idx="26">
                <c:v>5/31/2017</c:v>
              </c:pt>
              <c:pt idx="27">
                <c:v>6/1/2017</c:v>
              </c:pt>
              <c:pt idx="28">
                <c:v>6/2/2017</c:v>
              </c:pt>
              <c:pt idx="29">
                <c:v>6/5/2017</c:v>
              </c:pt>
              <c:pt idx="30">
                <c:v>6/6/2017</c:v>
              </c:pt>
              <c:pt idx="31">
                <c:v>6/7/2017</c:v>
              </c:pt>
              <c:pt idx="32">
                <c:v>6/8/2017</c:v>
              </c:pt>
              <c:pt idx="33">
                <c:v>6/9/2017</c:v>
              </c:pt>
              <c:pt idx="34">
                <c:v>6/12/2017</c:v>
              </c:pt>
              <c:pt idx="35">
                <c:v>6/13/2017</c:v>
              </c:pt>
              <c:pt idx="36">
                <c:v>6/14/2017</c:v>
              </c:pt>
              <c:pt idx="37">
                <c:v>6/15/2017</c:v>
              </c:pt>
              <c:pt idx="38">
                <c:v>6/16/2017</c:v>
              </c:pt>
              <c:pt idx="39">
                <c:v>6/19/2017</c:v>
              </c:pt>
              <c:pt idx="40">
                <c:v>6/20/2017</c:v>
              </c:pt>
              <c:pt idx="41">
                <c:v>6/21/2017</c:v>
              </c:pt>
              <c:pt idx="42">
                <c:v>6/22/2017</c:v>
              </c:pt>
              <c:pt idx="43">
                <c:v>6/23/2017</c:v>
              </c:pt>
              <c:pt idx="44">
                <c:v>6/26/2017</c:v>
              </c:pt>
              <c:pt idx="45">
                <c:v>6/27/2017</c:v>
              </c:pt>
              <c:pt idx="46">
                <c:v>6/28/2017</c:v>
              </c:pt>
              <c:pt idx="47">
                <c:v>6/29/2017</c:v>
              </c:pt>
              <c:pt idx="48">
                <c:v>6/30/2017</c:v>
              </c:pt>
              <c:pt idx="49">
                <c:v>7/3/2017</c:v>
              </c:pt>
              <c:pt idx="50">
                <c:v>7/5/2017</c:v>
              </c:pt>
              <c:pt idx="51">
                <c:v>7/6/2017</c:v>
              </c:pt>
              <c:pt idx="52">
                <c:v>7/7/2017</c:v>
              </c:pt>
              <c:pt idx="53">
                <c:v>7/10/2017</c:v>
              </c:pt>
              <c:pt idx="54">
                <c:v>7/11/2017</c:v>
              </c:pt>
              <c:pt idx="55">
                <c:v>7/12/2017</c:v>
              </c:pt>
              <c:pt idx="56">
                <c:v>7/13/2017</c:v>
              </c:pt>
              <c:pt idx="57">
                <c:v>7/14/2017</c:v>
              </c:pt>
              <c:pt idx="58">
                <c:v>7/17/2017</c:v>
              </c:pt>
              <c:pt idx="59">
                <c:v>7/18/2017</c:v>
              </c:pt>
              <c:pt idx="60">
                <c:v>7/19/2017</c:v>
              </c:pt>
              <c:pt idx="61">
                <c:v>7/20/2017</c:v>
              </c:pt>
              <c:pt idx="62">
                <c:v>7/21/2017</c:v>
              </c:pt>
              <c:pt idx="63">
                <c:v>7/24/2017</c:v>
              </c:pt>
              <c:pt idx="64">
                <c:v>7/25/2017</c:v>
              </c:pt>
              <c:pt idx="65">
                <c:v>7/26/2017</c:v>
              </c:pt>
              <c:pt idx="66">
                <c:v>7/27/2017</c:v>
              </c:pt>
              <c:pt idx="67">
                <c:v>7/28/2017</c:v>
              </c:pt>
              <c:pt idx="68">
                <c:v>7/31/2017</c:v>
              </c:pt>
              <c:pt idx="69">
                <c:v>8/1/2017</c:v>
              </c:pt>
              <c:pt idx="70">
                <c:v>8/2/2017</c:v>
              </c:pt>
              <c:pt idx="71">
                <c:v>8/3/2017</c:v>
              </c:pt>
              <c:pt idx="72">
                <c:v>8/4/2017</c:v>
              </c:pt>
              <c:pt idx="73">
                <c:v>8/8/2017</c:v>
              </c:pt>
              <c:pt idx="74">
                <c:v>8/9/2017</c:v>
              </c:pt>
              <c:pt idx="75">
                <c:v>8/10/2017</c:v>
              </c:pt>
              <c:pt idx="76">
                <c:v>8/11/2017</c:v>
              </c:pt>
              <c:pt idx="77">
                <c:v>8/14/2017</c:v>
              </c:pt>
              <c:pt idx="78">
                <c:v>8/15/2017</c:v>
              </c:pt>
              <c:pt idx="79">
                <c:v>8/16/2017</c:v>
              </c:pt>
              <c:pt idx="80">
                <c:v>8/17/2017</c:v>
              </c:pt>
              <c:pt idx="81">
                <c:v>8/18/2017</c:v>
              </c:pt>
              <c:pt idx="82">
                <c:v>8/21/2017</c:v>
              </c:pt>
              <c:pt idx="83">
                <c:v>8/22/2017</c:v>
              </c:pt>
              <c:pt idx="84">
                <c:v>8/23/2017</c:v>
              </c:pt>
              <c:pt idx="85">
                <c:v>8/24/2017</c:v>
              </c:pt>
              <c:pt idx="86">
                <c:v>8/25/2017</c:v>
              </c:pt>
              <c:pt idx="87">
                <c:v>8/28/2017</c:v>
              </c:pt>
              <c:pt idx="88">
                <c:v>8/29/2017</c:v>
              </c:pt>
              <c:pt idx="89">
                <c:v>8/30/2017</c:v>
              </c:pt>
              <c:pt idx="90">
                <c:v>8/31/2017</c:v>
              </c:pt>
              <c:pt idx="91">
                <c:v>9/1/2017</c:v>
              </c:pt>
              <c:pt idx="92">
                <c:v>9/5/2017</c:v>
              </c:pt>
              <c:pt idx="93">
                <c:v>9/6/2017</c:v>
              </c:pt>
              <c:pt idx="94">
                <c:v>9/7/2017</c:v>
              </c:pt>
              <c:pt idx="95">
                <c:v>9/8/2017</c:v>
              </c:pt>
              <c:pt idx="96">
                <c:v>9/11/2017</c:v>
              </c:pt>
              <c:pt idx="97">
                <c:v>9/12/2017</c:v>
              </c:pt>
              <c:pt idx="98">
                <c:v>9/13/2017</c:v>
              </c:pt>
              <c:pt idx="99">
                <c:v>9/14/2017</c:v>
              </c:pt>
              <c:pt idx="100">
                <c:v>9/15/2017</c:v>
              </c:pt>
              <c:pt idx="101">
                <c:v>9/18/2017</c:v>
              </c:pt>
              <c:pt idx="102">
                <c:v>9/19/2017</c:v>
              </c:pt>
              <c:pt idx="103">
                <c:v>9/20/2017</c:v>
              </c:pt>
              <c:pt idx="104">
                <c:v>9/21/2017</c:v>
              </c:pt>
              <c:pt idx="105">
                <c:v>9/22/2017</c:v>
              </c:pt>
              <c:pt idx="106">
                <c:v>9/25/2017</c:v>
              </c:pt>
              <c:pt idx="107">
                <c:v>9/26/2017</c:v>
              </c:pt>
              <c:pt idx="108">
                <c:v>9/27/2017</c:v>
              </c:pt>
              <c:pt idx="109">
                <c:v>9/28/2017</c:v>
              </c:pt>
              <c:pt idx="110">
                <c:v>9/29/2017</c:v>
              </c:pt>
              <c:pt idx="111">
                <c:v>10/2/2017</c:v>
              </c:pt>
              <c:pt idx="112">
                <c:v>10/3/2017</c:v>
              </c:pt>
              <c:pt idx="113">
                <c:v>10/4/2017</c:v>
              </c:pt>
              <c:pt idx="114">
                <c:v>10/5/2017</c:v>
              </c:pt>
              <c:pt idx="115">
                <c:v>10/6/2017</c:v>
              </c:pt>
              <c:pt idx="116">
                <c:v>10/9/2017</c:v>
              </c:pt>
              <c:pt idx="117">
                <c:v>10/10/2017</c:v>
              </c:pt>
              <c:pt idx="118">
                <c:v>10/11/2017</c:v>
              </c:pt>
              <c:pt idx="119">
                <c:v>10/12/2017</c:v>
              </c:pt>
              <c:pt idx="120">
                <c:v>10/13/2017</c:v>
              </c:pt>
              <c:pt idx="121">
                <c:v>10/16/2017</c:v>
              </c:pt>
              <c:pt idx="122">
                <c:v>10/17/2017</c:v>
              </c:pt>
              <c:pt idx="123">
                <c:v>10/18/2017</c:v>
              </c:pt>
              <c:pt idx="124">
                <c:v>10/19/2017</c:v>
              </c:pt>
              <c:pt idx="125">
                <c:v>10/20/2017</c:v>
              </c:pt>
              <c:pt idx="126">
                <c:v>10/23/2017</c:v>
              </c:pt>
              <c:pt idx="127">
                <c:v>10/24/2017</c:v>
              </c:pt>
              <c:pt idx="128">
                <c:v>10/25/2017</c:v>
              </c:pt>
              <c:pt idx="129">
                <c:v>10/26/2017</c:v>
              </c:pt>
              <c:pt idx="130">
                <c:v>10/27/2017</c:v>
              </c:pt>
              <c:pt idx="131">
                <c:v>10/30/2017</c:v>
              </c:pt>
              <c:pt idx="132">
                <c:v>10/31/2017</c:v>
              </c:pt>
              <c:pt idx="133">
                <c:v>11/1/2017</c:v>
              </c:pt>
              <c:pt idx="134">
                <c:v>11/2/2017</c:v>
              </c:pt>
              <c:pt idx="135">
                <c:v>11/3/2017</c:v>
              </c:pt>
              <c:pt idx="136">
                <c:v>11/6/2017</c:v>
              </c:pt>
              <c:pt idx="137">
                <c:v>11/7/2017</c:v>
              </c:pt>
              <c:pt idx="138">
                <c:v>11/9/2017</c:v>
              </c:pt>
            </c:strLit>
          </c:cat>
          <c:val>
            <c:numLit>
              <c:formatCode>General</c:formatCode>
              <c:ptCount val="139"/>
              <c:pt idx="0">
                <c:v>909.99</c:v>
              </c:pt>
              <c:pt idx="1">
                <c:v>909.48</c:v>
              </c:pt>
              <c:pt idx="2">
                <c:v>915.74900000000002</c:v>
              </c:pt>
              <c:pt idx="3">
                <c:v>921.86</c:v>
              </c:pt>
              <c:pt idx="4">
                <c:v>949.59</c:v>
              </c:pt>
              <c:pt idx="5">
                <c:v>954.4</c:v>
              </c:pt>
              <c:pt idx="6">
                <c:v>950.1</c:v>
              </c:pt>
              <c:pt idx="7">
                <c:v>946</c:v>
              </c:pt>
              <c:pt idx="8">
                <c:v>945</c:v>
              </c:pt>
              <c:pt idx="9">
                <c:v>940.79</c:v>
              </c:pt>
              <c:pt idx="10">
                <c:v>949.05</c:v>
              </c:pt>
              <c:pt idx="11">
                <c:v>957.89</c:v>
              </c:pt>
              <c:pt idx="12">
                <c:v>953.74990000000003</c:v>
              </c:pt>
              <c:pt idx="13">
                <c:v>950.29</c:v>
              </c:pt>
              <c:pt idx="14">
                <c:v>962.79</c:v>
              </c:pt>
              <c:pt idx="15">
                <c:v>963.15</c:v>
              </c:pt>
              <c:pt idx="16">
                <c:v>970.06</c:v>
              </c:pt>
              <c:pt idx="17">
                <c:v>960.39570000000003</c:v>
              </c:pt>
              <c:pt idx="18">
                <c:v>962.75</c:v>
              </c:pt>
              <c:pt idx="19">
                <c:v>968.92</c:v>
              </c:pt>
              <c:pt idx="20">
                <c:v>971.38</c:v>
              </c:pt>
              <c:pt idx="21">
                <c:v>975.2</c:v>
              </c:pt>
              <c:pt idx="22">
                <c:v>981</c:v>
              </c:pt>
              <c:pt idx="23">
                <c:v>999</c:v>
              </c:pt>
              <c:pt idx="24">
                <c:v>998.65</c:v>
              </c:pt>
              <c:pt idx="25">
                <c:v>1001.2</c:v>
              </c:pt>
              <c:pt idx="26">
                <c:v>1000.12</c:v>
              </c:pt>
              <c:pt idx="27">
                <c:v>998.99</c:v>
              </c:pt>
              <c:pt idx="28">
                <c:v>1008.48</c:v>
              </c:pt>
              <c:pt idx="29">
                <c:v>1013.21</c:v>
              </c:pt>
              <c:pt idx="30">
                <c:v>1016.5</c:v>
              </c:pt>
              <c:pt idx="31">
                <c:v>1010.25</c:v>
              </c:pt>
              <c:pt idx="32">
                <c:v>1013.61</c:v>
              </c:pt>
              <c:pt idx="33">
                <c:v>1012.99</c:v>
              </c:pt>
              <c:pt idx="34">
                <c:v>975.95</c:v>
              </c:pt>
              <c:pt idx="35">
                <c:v>984.5</c:v>
              </c:pt>
              <c:pt idx="36">
                <c:v>990.34</c:v>
              </c:pt>
              <c:pt idx="37">
                <c:v>965.73</c:v>
              </c:pt>
              <c:pt idx="38">
                <c:v>999.75</c:v>
              </c:pt>
              <c:pt idx="39">
                <c:v>1017</c:v>
              </c:pt>
              <c:pt idx="40">
                <c:v>1004.88</c:v>
              </c:pt>
              <c:pt idx="41">
                <c:v>1002.72</c:v>
              </c:pt>
              <c:pt idx="42">
                <c:v>1006.96</c:v>
              </c:pt>
              <c:pt idx="43">
                <c:v>1004.62</c:v>
              </c:pt>
              <c:pt idx="44">
                <c:v>1009.8</c:v>
              </c:pt>
              <c:pt idx="45">
                <c:v>998.8</c:v>
              </c:pt>
              <c:pt idx="46">
                <c:v>990.68</c:v>
              </c:pt>
              <c:pt idx="47">
                <c:v>987.56</c:v>
              </c:pt>
              <c:pt idx="48">
                <c:v>983.47</c:v>
              </c:pt>
              <c:pt idx="49">
                <c:v>974.49</c:v>
              </c:pt>
              <c:pt idx="50">
                <c:v>975</c:v>
              </c:pt>
              <c:pt idx="51">
                <c:v>974.4</c:v>
              </c:pt>
              <c:pt idx="52">
                <c:v>980.11</c:v>
              </c:pt>
              <c:pt idx="53">
                <c:v>999.43920000000003</c:v>
              </c:pt>
              <c:pt idx="54">
                <c:v>995.99</c:v>
              </c:pt>
              <c:pt idx="55">
                <c:v>1008.55</c:v>
              </c:pt>
              <c:pt idx="56">
                <c:v>1006.88</c:v>
              </c:pt>
              <c:pt idx="57">
                <c:v>1004.45</c:v>
              </c:pt>
              <c:pt idx="58">
                <c:v>1014.75</c:v>
              </c:pt>
              <c:pt idx="59">
                <c:v>1026.03</c:v>
              </c:pt>
              <c:pt idx="60">
                <c:v>1031.5899999999999</c:v>
              </c:pt>
              <c:pt idx="61">
                <c:v>1034.97</c:v>
              </c:pt>
              <c:pt idx="62">
                <c:v>1026.0999999999999</c:v>
              </c:pt>
              <c:pt idx="63">
                <c:v>1043.01</c:v>
              </c:pt>
              <c:pt idx="64">
                <c:v>1043.33</c:v>
              </c:pt>
              <c:pt idx="65">
                <c:v>1053.2</c:v>
              </c:pt>
              <c:pt idx="66">
                <c:v>1083.31</c:v>
              </c:pt>
              <c:pt idx="67">
                <c:v>1032.8499999999999</c:v>
              </c:pt>
              <c:pt idx="68">
                <c:v>1019.05</c:v>
              </c:pt>
              <c:pt idx="69">
                <c:v>1006.4</c:v>
              </c:pt>
              <c:pt idx="70">
                <c:v>1003.21</c:v>
              </c:pt>
              <c:pt idx="71">
                <c:v>999.5</c:v>
              </c:pt>
              <c:pt idx="72">
                <c:v>991.67200000000003</c:v>
              </c:pt>
              <c:pt idx="73">
                <c:v>996.28</c:v>
              </c:pt>
              <c:pt idx="74">
                <c:v>988</c:v>
              </c:pt>
              <c:pt idx="75">
                <c:v>979.86</c:v>
              </c:pt>
              <c:pt idx="76">
                <c:v>970.39</c:v>
              </c:pt>
              <c:pt idx="77">
                <c:v>985.5</c:v>
              </c:pt>
              <c:pt idx="78">
                <c:v>991.74</c:v>
              </c:pt>
              <c:pt idx="79">
                <c:v>986.46050000000002</c:v>
              </c:pt>
              <c:pt idx="80">
                <c:v>977.84</c:v>
              </c:pt>
              <c:pt idx="81">
                <c:v>965.43</c:v>
              </c:pt>
              <c:pt idx="82">
                <c:v>961.2</c:v>
              </c:pt>
              <c:pt idx="83">
                <c:v>967.93</c:v>
              </c:pt>
              <c:pt idx="84">
                <c:v>962</c:v>
              </c:pt>
              <c:pt idx="85">
                <c:v>959</c:v>
              </c:pt>
              <c:pt idx="86">
                <c:v>957.62099999999998</c:v>
              </c:pt>
              <c:pt idx="87">
                <c:v>953</c:v>
              </c:pt>
              <c:pt idx="88">
                <c:v>956</c:v>
              </c:pt>
              <c:pt idx="89">
                <c:v>969.41</c:v>
              </c:pt>
              <c:pt idx="90">
                <c:v>981</c:v>
              </c:pt>
              <c:pt idx="91">
                <c:v>984.5</c:v>
              </c:pt>
              <c:pt idx="92">
                <c:v>976.76990000000001</c:v>
              </c:pt>
              <c:pt idx="93">
                <c:v>971.84</c:v>
              </c:pt>
              <c:pt idx="94">
                <c:v>980.59</c:v>
              </c:pt>
              <c:pt idx="95">
                <c:v>979.88</c:v>
              </c:pt>
              <c:pt idx="96">
                <c:v>981.94</c:v>
              </c:pt>
              <c:pt idx="97">
                <c:v>984.67179999999996</c:v>
              </c:pt>
              <c:pt idx="98">
                <c:v>1000</c:v>
              </c:pt>
              <c:pt idx="99">
                <c:v>998.56</c:v>
              </c:pt>
              <c:pt idx="100">
                <c:v>996.25</c:v>
              </c:pt>
              <c:pt idx="101">
                <c:v>992.79219999999998</c:v>
              </c:pt>
              <c:pt idx="102">
                <c:v>978.24</c:v>
              </c:pt>
              <c:pt idx="103">
                <c:v>974.81</c:v>
              </c:pt>
              <c:pt idx="104">
                <c:v>971.7</c:v>
              </c:pt>
              <c:pt idx="105">
                <c:v>965.61</c:v>
              </c:pt>
              <c:pt idx="106">
                <c:v>949.42</c:v>
              </c:pt>
              <c:pt idx="107">
                <c:v>948.63</c:v>
              </c:pt>
              <c:pt idx="108">
                <c:v>955.3</c:v>
              </c:pt>
              <c:pt idx="109">
                <c:v>959.7</c:v>
              </c:pt>
              <c:pt idx="110">
                <c:v>964.83</c:v>
              </c:pt>
              <c:pt idx="111">
                <c:v>967.30499999999995</c:v>
              </c:pt>
              <c:pt idx="112">
                <c:v>963.69</c:v>
              </c:pt>
              <c:pt idx="113">
                <c:v>967.79</c:v>
              </c:pt>
              <c:pt idx="114">
                <c:v>981.51</c:v>
              </c:pt>
              <c:pt idx="115">
                <c:v>995.75</c:v>
              </c:pt>
              <c:pt idx="116">
                <c:v>998.5</c:v>
              </c:pt>
              <c:pt idx="117">
                <c:v>997.95</c:v>
              </c:pt>
              <c:pt idx="118">
                <c:v>995.5</c:v>
              </c:pt>
              <c:pt idx="119">
                <c:v>1008.44</c:v>
              </c:pt>
              <c:pt idx="120">
                <c:v>1007.77</c:v>
              </c:pt>
              <c:pt idx="121">
                <c:v>1009.57</c:v>
              </c:pt>
              <c:pt idx="122">
                <c:v>1011.47</c:v>
              </c:pt>
              <c:pt idx="123">
                <c:v>1022.31</c:v>
              </c:pt>
              <c:pt idx="124">
                <c:v>991.05</c:v>
              </c:pt>
              <c:pt idx="125">
                <c:v>994.62</c:v>
              </c:pt>
              <c:pt idx="126">
                <c:v>986.77499999999998</c:v>
              </c:pt>
              <c:pt idx="127">
                <c:v>979.85</c:v>
              </c:pt>
              <c:pt idx="128">
                <c:v>984.44</c:v>
              </c:pt>
              <c:pt idx="129">
                <c:v>982.9</c:v>
              </c:pt>
              <c:pt idx="130">
                <c:v>1105.58</c:v>
              </c:pt>
              <c:pt idx="131">
                <c:v>1122.79</c:v>
              </c:pt>
              <c:pt idx="132">
                <c:v>1110.54</c:v>
              </c:pt>
              <c:pt idx="133">
                <c:v>1108.97</c:v>
              </c:pt>
              <c:pt idx="134">
                <c:v>1101.94</c:v>
              </c:pt>
              <c:pt idx="135">
                <c:v>1112.68</c:v>
              </c:pt>
              <c:pt idx="136">
                <c:v>1125.4100000000001</c:v>
              </c:pt>
              <c:pt idx="137">
                <c:v>1130.5999999999999</c:v>
              </c:pt>
              <c:pt idx="138">
                <c:v>1129.6199999999999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D90-46A9-B6DB-580F1BBD0FCC}"/>
            </c:ext>
          </c:extLst>
        </c:ser>
        <c:ser>
          <c:idx val="2"/>
          <c:order val="2"/>
          <c:tx>
            <c:v>Low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Lit>
              <c:ptCount val="139"/>
              <c:pt idx="0">
                <c:v>4/24/2017</c:v>
              </c:pt>
              <c:pt idx="1">
                <c:v>4/25/2017</c:v>
              </c:pt>
              <c:pt idx="2">
                <c:v>4/26/2017</c:v>
              </c:pt>
              <c:pt idx="3">
                <c:v>4/27/2017</c:v>
              </c:pt>
              <c:pt idx="4">
                <c:v>4/28/2017</c:v>
              </c:pt>
              <c:pt idx="5">
                <c:v>5/1/2017</c:v>
              </c:pt>
              <c:pt idx="6">
                <c:v>5/2/2017</c:v>
              </c:pt>
              <c:pt idx="7">
                <c:v>5/3/2017</c:v>
              </c:pt>
              <c:pt idx="8">
                <c:v>5/4/2017</c:v>
              </c:pt>
              <c:pt idx="9">
                <c:v>5/5/2017</c:v>
              </c:pt>
              <c:pt idx="10">
                <c:v>5/8/2017</c:v>
              </c:pt>
              <c:pt idx="11">
                <c:v>5/9/2017</c:v>
              </c:pt>
              <c:pt idx="12">
                <c:v>5/10/2017</c:v>
              </c:pt>
              <c:pt idx="13">
                <c:v>5/11/2017</c:v>
              </c:pt>
              <c:pt idx="14">
                <c:v>5/12/2017</c:v>
              </c:pt>
              <c:pt idx="15">
                <c:v>5/15/2017</c:v>
              </c:pt>
              <c:pt idx="16">
                <c:v>5/16/2017</c:v>
              </c:pt>
              <c:pt idx="17">
                <c:v>5/17/2017</c:v>
              </c:pt>
              <c:pt idx="18">
                <c:v>5/18/2017</c:v>
              </c:pt>
              <c:pt idx="19">
                <c:v>5/19/2017</c:v>
              </c:pt>
              <c:pt idx="20">
                <c:v>5/22/2017</c:v>
              </c:pt>
              <c:pt idx="21">
                <c:v>5/23/2017</c:v>
              </c:pt>
              <c:pt idx="22">
                <c:v>5/24/2017</c:v>
              </c:pt>
              <c:pt idx="23">
                <c:v>5/25/2017</c:v>
              </c:pt>
              <c:pt idx="24">
                <c:v>5/26/2017</c:v>
              </c:pt>
              <c:pt idx="25">
                <c:v>5/30/2017</c:v>
              </c:pt>
              <c:pt idx="26">
                <c:v>5/31/2017</c:v>
              </c:pt>
              <c:pt idx="27">
                <c:v>6/1/2017</c:v>
              </c:pt>
              <c:pt idx="28">
                <c:v>6/2/2017</c:v>
              </c:pt>
              <c:pt idx="29">
                <c:v>6/5/2017</c:v>
              </c:pt>
              <c:pt idx="30">
                <c:v>6/6/2017</c:v>
              </c:pt>
              <c:pt idx="31">
                <c:v>6/7/2017</c:v>
              </c:pt>
              <c:pt idx="32">
                <c:v>6/8/2017</c:v>
              </c:pt>
              <c:pt idx="33">
                <c:v>6/9/2017</c:v>
              </c:pt>
              <c:pt idx="34">
                <c:v>6/12/2017</c:v>
              </c:pt>
              <c:pt idx="35">
                <c:v>6/13/2017</c:v>
              </c:pt>
              <c:pt idx="36">
                <c:v>6/14/2017</c:v>
              </c:pt>
              <c:pt idx="37">
                <c:v>6/15/2017</c:v>
              </c:pt>
              <c:pt idx="38">
                <c:v>6/16/2017</c:v>
              </c:pt>
              <c:pt idx="39">
                <c:v>6/19/2017</c:v>
              </c:pt>
              <c:pt idx="40">
                <c:v>6/20/2017</c:v>
              </c:pt>
              <c:pt idx="41">
                <c:v>6/21/2017</c:v>
              </c:pt>
              <c:pt idx="42">
                <c:v>6/22/2017</c:v>
              </c:pt>
              <c:pt idx="43">
                <c:v>6/23/2017</c:v>
              </c:pt>
              <c:pt idx="44">
                <c:v>6/26/2017</c:v>
              </c:pt>
              <c:pt idx="45">
                <c:v>6/27/2017</c:v>
              </c:pt>
              <c:pt idx="46">
                <c:v>6/28/2017</c:v>
              </c:pt>
              <c:pt idx="47">
                <c:v>6/29/2017</c:v>
              </c:pt>
              <c:pt idx="48">
                <c:v>6/30/2017</c:v>
              </c:pt>
              <c:pt idx="49">
                <c:v>7/3/2017</c:v>
              </c:pt>
              <c:pt idx="50">
                <c:v>7/5/2017</c:v>
              </c:pt>
              <c:pt idx="51">
                <c:v>7/6/2017</c:v>
              </c:pt>
              <c:pt idx="52">
                <c:v>7/7/2017</c:v>
              </c:pt>
              <c:pt idx="53">
                <c:v>7/10/2017</c:v>
              </c:pt>
              <c:pt idx="54">
                <c:v>7/11/2017</c:v>
              </c:pt>
              <c:pt idx="55">
                <c:v>7/12/2017</c:v>
              </c:pt>
              <c:pt idx="56">
                <c:v>7/13/2017</c:v>
              </c:pt>
              <c:pt idx="57">
                <c:v>7/14/2017</c:v>
              </c:pt>
              <c:pt idx="58">
                <c:v>7/17/2017</c:v>
              </c:pt>
              <c:pt idx="59">
                <c:v>7/18/2017</c:v>
              </c:pt>
              <c:pt idx="60">
                <c:v>7/19/2017</c:v>
              </c:pt>
              <c:pt idx="61">
                <c:v>7/20/2017</c:v>
              </c:pt>
              <c:pt idx="62">
                <c:v>7/21/2017</c:v>
              </c:pt>
              <c:pt idx="63">
                <c:v>7/24/2017</c:v>
              </c:pt>
              <c:pt idx="64">
                <c:v>7/25/2017</c:v>
              </c:pt>
              <c:pt idx="65">
                <c:v>7/26/2017</c:v>
              </c:pt>
              <c:pt idx="66">
                <c:v>7/27/2017</c:v>
              </c:pt>
              <c:pt idx="67">
                <c:v>7/28/2017</c:v>
              </c:pt>
              <c:pt idx="68">
                <c:v>7/31/2017</c:v>
              </c:pt>
              <c:pt idx="69">
                <c:v>8/1/2017</c:v>
              </c:pt>
              <c:pt idx="70">
                <c:v>8/2/2017</c:v>
              </c:pt>
              <c:pt idx="71">
                <c:v>8/3/2017</c:v>
              </c:pt>
              <c:pt idx="72">
                <c:v>8/4/2017</c:v>
              </c:pt>
              <c:pt idx="73">
                <c:v>8/8/2017</c:v>
              </c:pt>
              <c:pt idx="74">
                <c:v>8/9/2017</c:v>
              </c:pt>
              <c:pt idx="75">
                <c:v>8/10/2017</c:v>
              </c:pt>
              <c:pt idx="76">
                <c:v>8/11/2017</c:v>
              </c:pt>
              <c:pt idx="77">
                <c:v>8/14/2017</c:v>
              </c:pt>
              <c:pt idx="78">
                <c:v>8/15/2017</c:v>
              </c:pt>
              <c:pt idx="79">
                <c:v>8/16/2017</c:v>
              </c:pt>
              <c:pt idx="80">
                <c:v>8/17/2017</c:v>
              </c:pt>
              <c:pt idx="81">
                <c:v>8/18/2017</c:v>
              </c:pt>
              <c:pt idx="82">
                <c:v>8/21/2017</c:v>
              </c:pt>
              <c:pt idx="83">
                <c:v>8/22/2017</c:v>
              </c:pt>
              <c:pt idx="84">
                <c:v>8/23/2017</c:v>
              </c:pt>
              <c:pt idx="85">
                <c:v>8/24/2017</c:v>
              </c:pt>
              <c:pt idx="86">
                <c:v>8/25/2017</c:v>
              </c:pt>
              <c:pt idx="87">
                <c:v>8/28/2017</c:v>
              </c:pt>
              <c:pt idx="88">
                <c:v>8/29/2017</c:v>
              </c:pt>
              <c:pt idx="89">
                <c:v>8/30/2017</c:v>
              </c:pt>
              <c:pt idx="90">
                <c:v>8/31/2017</c:v>
              </c:pt>
              <c:pt idx="91">
                <c:v>9/1/2017</c:v>
              </c:pt>
              <c:pt idx="92">
                <c:v>9/5/2017</c:v>
              </c:pt>
              <c:pt idx="93">
                <c:v>9/6/2017</c:v>
              </c:pt>
              <c:pt idx="94">
                <c:v>9/7/2017</c:v>
              </c:pt>
              <c:pt idx="95">
                <c:v>9/8/2017</c:v>
              </c:pt>
              <c:pt idx="96">
                <c:v>9/11/2017</c:v>
              </c:pt>
              <c:pt idx="97">
                <c:v>9/12/2017</c:v>
              </c:pt>
              <c:pt idx="98">
                <c:v>9/13/2017</c:v>
              </c:pt>
              <c:pt idx="99">
                <c:v>9/14/2017</c:v>
              </c:pt>
              <c:pt idx="100">
                <c:v>9/15/2017</c:v>
              </c:pt>
              <c:pt idx="101">
                <c:v>9/18/2017</c:v>
              </c:pt>
              <c:pt idx="102">
                <c:v>9/19/2017</c:v>
              </c:pt>
              <c:pt idx="103">
                <c:v>9/20/2017</c:v>
              </c:pt>
              <c:pt idx="104">
                <c:v>9/21/2017</c:v>
              </c:pt>
              <c:pt idx="105">
                <c:v>9/22/2017</c:v>
              </c:pt>
              <c:pt idx="106">
                <c:v>9/25/2017</c:v>
              </c:pt>
              <c:pt idx="107">
                <c:v>9/26/2017</c:v>
              </c:pt>
              <c:pt idx="108">
                <c:v>9/27/2017</c:v>
              </c:pt>
              <c:pt idx="109">
                <c:v>9/28/2017</c:v>
              </c:pt>
              <c:pt idx="110">
                <c:v>9/29/2017</c:v>
              </c:pt>
              <c:pt idx="111">
                <c:v>10/2/2017</c:v>
              </c:pt>
              <c:pt idx="112">
                <c:v>10/3/2017</c:v>
              </c:pt>
              <c:pt idx="113">
                <c:v>10/4/2017</c:v>
              </c:pt>
              <c:pt idx="114">
                <c:v>10/5/2017</c:v>
              </c:pt>
              <c:pt idx="115">
                <c:v>10/6/2017</c:v>
              </c:pt>
              <c:pt idx="116">
                <c:v>10/9/2017</c:v>
              </c:pt>
              <c:pt idx="117">
                <c:v>10/10/2017</c:v>
              </c:pt>
              <c:pt idx="118">
                <c:v>10/11/2017</c:v>
              </c:pt>
              <c:pt idx="119">
                <c:v>10/12/2017</c:v>
              </c:pt>
              <c:pt idx="120">
                <c:v>10/13/2017</c:v>
              </c:pt>
              <c:pt idx="121">
                <c:v>10/16/2017</c:v>
              </c:pt>
              <c:pt idx="122">
                <c:v>10/17/2017</c:v>
              </c:pt>
              <c:pt idx="123">
                <c:v>10/18/2017</c:v>
              </c:pt>
              <c:pt idx="124">
                <c:v>10/19/2017</c:v>
              </c:pt>
              <c:pt idx="125">
                <c:v>10/20/2017</c:v>
              </c:pt>
              <c:pt idx="126">
                <c:v>10/23/2017</c:v>
              </c:pt>
              <c:pt idx="127">
                <c:v>10/24/2017</c:v>
              </c:pt>
              <c:pt idx="128">
                <c:v>10/25/2017</c:v>
              </c:pt>
              <c:pt idx="129">
                <c:v>10/26/2017</c:v>
              </c:pt>
              <c:pt idx="130">
                <c:v>10/27/2017</c:v>
              </c:pt>
              <c:pt idx="131">
                <c:v>10/30/2017</c:v>
              </c:pt>
              <c:pt idx="132">
                <c:v>10/31/2017</c:v>
              </c:pt>
              <c:pt idx="133">
                <c:v>11/1/2017</c:v>
              </c:pt>
              <c:pt idx="134">
                <c:v>11/2/2017</c:v>
              </c:pt>
              <c:pt idx="135">
                <c:v>11/3/2017</c:v>
              </c:pt>
              <c:pt idx="136">
                <c:v>11/6/2017</c:v>
              </c:pt>
              <c:pt idx="137">
                <c:v>11/7/2017</c:v>
              </c:pt>
              <c:pt idx="138">
                <c:v>11/9/2017</c:v>
              </c:pt>
            </c:strLit>
          </c:cat>
          <c:val>
            <c:numLit>
              <c:formatCode>General</c:formatCode>
              <c:ptCount val="139"/>
              <c:pt idx="0">
                <c:v>903.82</c:v>
              </c:pt>
              <c:pt idx="1">
                <c:v>903</c:v>
              </c:pt>
              <c:pt idx="2">
                <c:v>907.56</c:v>
              </c:pt>
              <c:pt idx="3">
                <c:v>912.11</c:v>
              </c:pt>
              <c:pt idx="4">
                <c:v>924.33349999999996</c:v>
              </c:pt>
              <c:pt idx="5">
                <c:v>927.8</c:v>
              </c:pt>
              <c:pt idx="6">
                <c:v>941.41300000000001</c:v>
              </c:pt>
              <c:pt idx="7">
                <c:v>935.9</c:v>
              </c:pt>
              <c:pt idx="8">
                <c:v>934.21500000000003</c:v>
              </c:pt>
              <c:pt idx="9">
                <c:v>930.3</c:v>
              </c:pt>
              <c:pt idx="10">
                <c:v>939.21</c:v>
              </c:pt>
              <c:pt idx="11">
                <c:v>950.2</c:v>
              </c:pt>
              <c:pt idx="12">
                <c:v>945</c:v>
              </c:pt>
              <c:pt idx="13">
                <c:v>940.77499999999998</c:v>
              </c:pt>
              <c:pt idx="14">
                <c:v>951.53</c:v>
              </c:pt>
              <c:pt idx="15">
                <c:v>956.05499999999995</c:v>
              </c:pt>
              <c:pt idx="16">
                <c:v>960.91</c:v>
              </c:pt>
              <c:pt idx="17">
                <c:v>944.12</c:v>
              </c:pt>
              <c:pt idx="18">
                <c:v>944.76</c:v>
              </c:pt>
              <c:pt idx="19">
                <c:v>959.72</c:v>
              </c:pt>
              <c:pt idx="20">
                <c:v>962.9</c:v>
              </c:pt>
              <c:pt idx="21">
                <c:v>966.85</c:v>
              </c:pt>
              <c:pt idx="22">
                <c:v>970.23</c:v>
              </c:pt>
              <c:pt idx="23">
                <c:v>982.11</c:v>
              </c:pt>
              <c:pt idx="24">
                <c:v>989.2491</c:v>
              </c:pt>
              <c:pt idx="25">
                <c:v>995.52</c:v>
              </c:pt>
              <c:pt idx="26">
                <c:v>982.16</c:v>
              </c:pt>
              <c:pt idx="27">
                <c:v>991.37</c:v>
              </c:pt>
              <c:pt idx="28">
                <c:v>995.67</c:v>
              </c:pt>
              <c:pt idx="29">
                <c:v>1003.51</c:v>
              </c:pt>
              <c:pt idx="30">
                <c:v>1001.25</c:v>
              </c:pt>
              <c:pt idx="31">
                <c:v>1002</c:v>
              </c:pt>
              <c:pt idx="32">
                <c:v>1006.11</c:v>
              </c:pt>
              <c:pt idx="33">
                <c:v>927</c:v>
              </c:pt>
              <c:pt idx="34">
                <c:v>945</c:v>
              </c:pt>
              <c:pt idx="35">
                <c:v>966.1</c:v>
              </c:pt>
              <c:pt idx="36">
                <c:v>966.71</c:v>
              </c:pt>
              <c:pt idx="37">
                <c:v>950.86</c:v>
              </c:pt>
              <c:pt idx="38">
                <c:v>982</c:v>
              </c:pt>
              <c:pt idx="39">
                <c:v>989.9</c:v>
              </c:pt>
              <c:pt idx="40">
                <c:v>992.02</c:v>
              </c:pt>
              <c:pt idx="41">
                <c:v>992.65179999999998</c:v>
              </c:pt>
              <c:pt idx="42">
                <c:v>997.2</c:v>
              </c:pt>
              <c:pt idx="43">
                <c:v>998.02</c:v>
              </c:pt>
              <c:pt idx="44">
                <c:v>992</c:v>
              </c:pt>
              <c:pt idx="45">
                <c:v>976</c:v>
              </c:pt>
              <c:pt idx="46">
                <c:v>969.21</c:v>
              </c:pt>
              <c:pt idx="47">
                <c:v>965.25</c:v>
              </c:pt>
              <c:pt idx="48">
                <c:v>967.61</c:v>
              </c:pt>
              <c:pt idx="49">
                <c:v>951.00009999999997</c:v>
              </c:pt>
              <c:pt idx="50">
                <c:v>955.25</c:v>
              </c:pt>
              <c:pt idx="51">
                <c:v>959.02</c:v>
              </c:pt>
              <c:pt idx="52">
                <c:v>969.14</c:v>
              </c:pt>
              <c:pt idx="53">
                <c:v>983.5</c:v>
              </c:pt>
              <c:pt idx="54">
                <c:v>983.72</c:v>
              </c:pt>
              <c:pt idx="55">
                <c:v>998.1</c:v>
              </c:pt>
              <c:pt idx="56">
                <c:v>995.9</c:v>
              </c:pt>
              <c:pt idx="57">
                <c:v>996.89</c:v>
              </c:pt>
              <c:pt idx="58">
                <c:v>1003.81</c:v>
              </c:pt>
              <c:pt idx="59">
                <c:v>1004</c:v>
              </c:pt>
              <c:pt idx="60">
                <c:v>1022.5</c:v>
              </c:pt>
              <c:pt idx="61">
                <c:v>1022.52</c:v>
              </c:pt>
              <c:pt idx="62">
                <c:v>1011</c:v>
              </c:pt>
              <c:pt idx="63">
                <c:v>1027.43</c:v>
              </c:pt>
              <c:pt idx="64">
                <c:v>1032.48</c:v>
              </c:pt>
              <c:pt idx="65">
                <c:v>1043.2</c:v>
              </c:pt>
              <c:pt idx="66">
                <c:v>1040.18</c:v>
              </c:pt>
              <c:pt idx="67">
                <c:v>1001</c:v>
              </c:pt>
              <c:pt idx="68">
                <c:v>987.02</c:v>
              </c:pt>
              <c:pt idx="69">
                <c:v>991.58</c:v>
              </c:pt>
              <c:pt idx="70">
                <c:v>981.73</c:v>
              </c:pt>
              <c:pt idx="71">
                <c:v>984.59</c:v>
              </c:pt>
              <c:pt idx="72">
                <c:v>982</c:v>
              </c:pt>
              <c:pt idx="73">
                <c:v>985.79</c:v>
              </c:pt>
              <c:pt idx="74">
                <c:v>975.27</c:v>
              </c:pt>
              <c:pt idx="75">
                <c:v>954.68</c:v>
              </c:pt>
              <c:pt idx="76">
                <c:v>951.38</c:v>
              </c:pt>
              <c:pt idx="77">
                <c:v>976.19</c:v>
              </c:pt>
              <c:pt idx="78">
                <c:v>982</c:v>
              </c:pt>
              <c:pt idx="79">
                <c:v>973.22</c:v>
              </c:pt>
              <c:pt idx="80">
                <c:v>960.32</c:v>
              </c:pt>
              <c:pt idx="81">
                <c:v>954.65</c:v>
              </c:pt>
              <c:pt idx="82">
                <c:v>945.46</c:v>
              </c:pt>
              <c:pt idx="83">
                <c:v>955.495</c:v>
              </c:pt>
              <c:pt idx="84">
                <c:v>954.2</c:v>
              </c:pt>
              <c:pt idx="85">
                <c:v>941.14</c:v>
              </c:pt>
              <c:pt idx="86">
                <c:v>944.1</c:v>
              </c:pt>
              <c:pt idx="87">
                <c:v>942.25</c:v>
              </c:pt>
              <c:pt idx="88">
                <c:v>936.33</c:v>
              </c:pt>
              <c:pt idx="89">
                <c:v>956.90620000000001</c:v>
              </c:pt>
              <c:pt idx="90">
                <c:v>972.76</c:v>
              </c:pt>
              <c:pt idx="91">
                <c:v>976.875</c:v>
              </c:pt>
              <c:pt idx="92">
                <c:v>960.37</c:v>
              </c:pt>
              <c:pt idx="93">
                <c:v>960.6</c:v>
              </c:pt>
              <c:pt idx="94">
                <c:v>972.55</c:v>
              </c:pt>
              <c:pt idx="95">
                <c:v>963.47</c:v>
              </c:pt>
              <c:pt idx="96">
                <c:v>974.22</c:v>
              </c:pt>
              <c:pt idx="97">
                <c:v>975.51700000000005</c:v>
              </c:pt>
              <c:pt idx="98">
                <c:v>979.42</c:v>
              </c:pt>
              <c:pt idx="99">
                <c:v>987.74</c:v>
              </c:pt>
              <c:pt idx="100">
                <c:v>984.03</c:v>
              </c:pt>
              <c:pt idx="101">
                <c:v>968.17</c:v>
              </c:pt>
              <c:pt idx="102">
                <c:v>967.46</c:v>
              </c:pt>
              <c:pt idx="103">
                <c:v>962.1626</c:v>
              </c:pt>
              <c:pt idx="104">
                <c:v>962.02</c:v>
              </c:pt>
              <c:pt idx="105">
                <c:v>954.42</c:v>
              </c:pt>
              <c:pt idx="106">
                <c:v>932.89</c:v>
              </c:pt>
              <c:pt idx="107">
                <c:v>931.75</c:v>
              </c:pt>
              <c:pt idx="108">
                <c:v>943.3</c:v>
              </c:pt>
              <c:pt idx="109">
                <c:v>950.101</c:v>
              </c:pt>
              <c:pt idx="110">
                <c:v>958.375</c:v>
              </c:pt>
              <c:pt idx="111">
                <c:v>952.12009999999998</c:v>
              </c:pt>
              <c:pt idx="112">
                <c:v>950.37</c:v>
              </c:pt>
              <c:pt idx="113">
                <c:v>954.05</c:v>
              </c:pt>
              <c:pt idx="114">
                <c:v>969.64</c:v>
              </c:pt>
              <c:pt idx="115">
                <c:v>975.64</c:v>
              </c:pt>
              <c:pt idx="116">
                <c:v>987.5</c:v>
              </c:pt>
              <c:pt idx="117">
                <c:v>980.09900000000005</c:v>
              </c:pt>
              <c:pt idx="118">
                <c:v>986.69500000000005</c:v>
              </c:pt>
              <c:pt idx="119">
                <c:v>992.4</c:v>
              </c:pt>
              <c:pt idx="120">
                <c:v>1001.03</c:v>
              </c:pt>
              <c:pt idx="121">
                <c:v>1001.04</c:v>
              </c:pt>
              <c:pt idx="122">
                <c:v>1004.38</c:v>
              </c:pt>
              <c:pt idx="123">
                <c:v>996.55</c:v>
              </c:pt>
              <c:pt idx="124">
                <c:v>980.24</c:v>
              </c:pt>
              <c:pt idx="125">
                <c:v>982</c:v>
              </c:pt>
              <c:pt idx="126">
                <c:v>962.5</c:v>
              </c:pt>
              <c:pt idx="127">
                <c:v>965</c:v>
              </c:pt>
              <c:pt idx="128">
                <c:v>966.24</c:v>
              </c:pt>
              <c:pt idx="129">
                <c:v>968.55</c:v>
              </c:pt>
              <c:pt idx="130">
                <c:v>1050.55</c:v>
              </c:pt>
              <c:pt idx="131">
                <c:v>1093.56</c:v>
              </c:pt>
              <c:pt idx="132">
                <c:v>1101.1199999999999</c:v>
              </c:pt>
              <c:pt idx="133">
                <c:v>1096.74</c:v>
              </c:pt>
              <c:pt idx="134">
                <c:v>1086.8699999999999</c:v>
              </c:pt>
              <c:pt idx="135">
                <c:v>1088.52</c:v>
              </c:pt>
              <c:pt idx="136">
                <c:v>1108.77</c:v>
              </c:pt>
              <c:pt idx="137">
                <c:v>1117.5</c:v>
              </c:pt>
              <c:pt idx="138">
                <c:v>1115.77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6D90-46A9-B6DB-580F1BBD0FCC}"/>
            </c:ext>
          </c:extLst>
        </c:ser>
        <c:ser>
          <c:idx val="3"/>
          <c:order val="3"/>
          <c:tx>
            <c:v>Close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Lit>
              <c:ptCount val="139"/>
              <c:pt idx="0">
                <c:v>4/24/2017</c:v>
              </c:pt>
              <c:pt idx="1">
                <c:v>4/25/2017</c:v>
              </c:pt>
              <c:pt idx="2">
                <c:v>4/26/2017</c:v>
              </c:pt>
              <c:pt idx="3">
                <c:v>4/27/2017</c:v>
              </c:pt>
              <c:pt idx="4">
                <c:v>4/28/2017</c:v>
              </c:pt>
              <c:pt idx="5">
                <c:v>5/1/2017</c:v>
              </c:pt>
              <c:pt idx="6">
                <c:v>5/2/2017</c:v>
              </c:pt>
              <c:pt idx="7">
                <c:v>5/3/2017</c:v>
              </c:pt>
              <c:pt idx="8">
                <c:v>5/4/2017</c:v>
              </c:pt>
              <c:pt idx="9">
                <c:v>5/5/2017</c:v>
              </c:pt>
              <c:pt idx="10">
                <c:v>5/8/2017</c:v>
              </c:pt>
              <c:pt idx="11">
                <c:v>5/9/2017</c:v>
              </c:pt>
              <c:pt idx="12">
                <c:v>5/10/2017</c:v>
              </c:pt>
              <c:pt idx="13">
                <c:v>5/11/2017</c:v>
              </c:pt>
              <c:pt idx="14">
                <c:v>5/12/2017</c:v>
              </c:pt>
              <c:pt idx="15">
                <c:v>5/15/2017</c:v>
              </c:pt>
              <c:pt idx="16">
                <c:v>5/16/2017</c:v>
              </c:pt>
              <c:pt idx="17">
                <c:v>5/17/2017</c:v>
              </c:pt>
              <c:pt idx="18">
                <c:v>5/18/2017</c:v>
              </c:pt>
              <c:pt idx="19">
                <c:v>5/19/2017</c:v>
              </c:pt>
              <c:pt idx="20">
                <c:v>5/22/2017</c:v>
              </c:pt>
              <c:pt idx="21">
                <c:v>5/23/2017</c:v>
              </c:pt>
              <c:pt idx="22">
                <c:v>5/24/2017</c:v>
              </c:pt>
              <c:pt idx="23">
                <c:v>5/25/2017</c:v>
              </c:pt>
              <c:pt idx="24">
                <c:v>5/26/2017</c:v>
              </c:pt>
              <c:pt idx="25">
                <c:v>5/30/2017</c:v>
              </c:pt>
              <c:pt idx="26">
                <c:v>5/31/2017</c:v>
              </c:pt>
              <c:pt idx="27">
                <c:v>6/1/2017</c:v>
              </c:pt>
              <c:pt idx="28">
                <c:v>6/2/2017</c:v>
              </c:pt>
              <c:pt idx="29">
                <c:v>6/5/2017</c:v>
              </c:pt>
              <c:pt idx="30">
                <c:v>6/6/2017</c:v>
              </c:pt>
              <c:pt idx="31">
                <c:v>6/7/2017</c:v>
              </c:pt>
              <c:pt idx="32">
                <c:v>6/8/2017</c:v>
              </c:pt>
              <c:pt idx="33">
                <c:v>6/9/2017</c:v>
              </c:pt>
              <c:pt idx="34">
                <c:v>6/12/2017</c:v>
              </c:pt>
              <c:pt idx="35">
                <c:v>6/13/2017</c:v>
              </c:pt>
              <c:pt idx="36">
                <c:v>6/14/2017</c:v>
              </c:pt>
              <c:pt idx="37">
                <c:v>6/15/2017</c:v>
              </c:pt>
              <c:pt idx="38">
                <c:v>6/16/2017</c:v>
              </c:pt>
              <c:pt idx="39">
                <c:v>6/19/2017</c:v>
              </c:pt>
              <c:pt idx="40">
                <c:v>6/20/2017</c:v>
              </c:pt>
              <c:pt idx="41">
                <c:v>6/21/2017</c:v>
              </c:pt>
              <c:pt idx="42">
                <c:v>6/22/2017</c:v>
              </c:pt>
              <c:pt idx="43">
                <c:v>6/23/2017</c:v>
              </c:pt>
              <c:pt idx="44">
                <c:v>6/26/2017</c:v>
              </c:pt>
              <c:pt idx="45">
                <c:v>6/27/2017</c:v>
              </c:pt>
              <c:pt idx="46">
                <c:v>6/28/2017</c:v>
              </c:pt>
              <c:pt idx="47">
                <c:v>6/29/2017</c:v>
              </c:pt>
              <c:pt idx="48">
                <c:v>6/30/2017</c:v>
              </c:pt>
              <c:pt idx="49">
                <c:v>7/3/2017</c:v>
              </c:pt>
              <c:pt idx="50">
                <c:v>7/5/2017</c:v>
              </c:pt>
              <c:pt idx="51">
                <c:v>7/6/2017</c:v>
              </c:pt>
              <c:pt idx="52">
                <c:v>7/7/2017</c:v>
              </c:pt>
              <c:pt idx="53">
                <c:v>7/10/2017</c:v>
              </c:pt>
              <c:pt idx="54">
                <c:v>7/11/2017</c:v>
              </c:pt>
              <c:pt idx="55">
                <c:v>7/12/2017</c:v>
              </c:pt>
              <c:pt idx="56">
                <c:v>7/13/2017</c:v>
              </c:pt>
              <c:pt idx="57">
                <c:v>7/14/2017</c:v>
              </c:pt>
              <c:pt idx="58">
                <c:v>7/17/2017</c:v>
              </c:pt>
              <c:pt idx="59">
                <c:v>7/18/2017</c:v>
              </c:pt>
              <c:pt idx="60">
                <c:v>7/19/2017</c:v>
              </c:pt>
              <c:pt idx="61">
                <c:v>7/20/2017</c:v>
              </c:pt>
              <c:pt idx="62">
                <c:v>7/21/2017</c:v>
              </c:pt>
              <c:pt idx="63">
                <c:v>7/24/2017</c:v>
              </c:pt>
              <c:pt idx="64">
                <c:v>7/25/2017</c:v>
              </c:pt>
              <c:pt idx="65">
                <c:v>7/26/2017</c:v>
              </c:pt>
              <c:pt idx="66">
                <c:v>7/27/2017</c:v>
              </c:pt>
              <c:pt idx="67">
                <c:v>7/28/2017</c:v>
              </c:pt>
              <c:pt idx="68">
                <c:v>7/31/2017</c:v>
              </c:pt>
              <c:pt idx="69">
                <c:v>8/1/2017</c:v>
              </c:pt>
              <c:pt idx="70">
                <c:v>8/2/2017</c:v>
              </c:pt>
              <c:pt idx="71">
                <c:v>8/3/2017</c:v>
              </c:pt>
              <c:pt idx="72">
                <c:v>8/4/2017</c:v>
              </c:pt>
              <c:pt idx="73">
                <c:v>8/8/2017</c:v>
              </c:pt>
              <c:pt idx="74">
                <c:v>8/9/2017</c:v>
              </c:pt>
              <c:pt idx="75">
                <c:v>8/10/2017</c:v>
              </c:pt>
              <c:pt idx="76">
                <c:v>8/11/2017</c:v>
              </c:pt>
              <c:pt idx="77">
                <c:v>8/14/2017</c:v>
              </c:pt>
              <c:pt idx="78">
                <c:v>8/15/2017</c:v>
              </c:pt>
              <c:pt idx="79">
                <c:v>8/16/2017</c:v>
              </c:pt>
              <c:pt idx="80">
                <c:v>8/17/2017</c:v>
              </c:pt>
              <c:pt idx="81">
                <c:v>8/18/2017</c:v>
              </c:pt>
              <c:pt idx="82">
                <c:v>8/21/2017</c:v>
              </c:pt>
              <c:pt idx="83">
                <c:v>8/22/2017</c:v>
              </c:pt>
              <c:pt idx="84">
                <c:v>8/23/2017</c:v>
              </c:pt>
              <c:pt idx="85">
                <c:v>8/24/2017</c:v>
              </c:pt>
              <c:pt idx="86">
                <c:v>8/25/2017</c:v>
              </c:pt>
              <c:pt idx="87">
                <c:v>8/28/2017</c:v>
              </c:pt>
              <c:pt idx="88">
                <c:v>8/29/2017</c:v>
              </c:pt>
              <c:pt idx="89">
                <c:v>8/30/2017</c:v>
              </c:pt>
              <c:pt idx="90">
                <c:v>8/31/2017</c:v>
              </c:pt>
              <c:pt idx="91">
                <c:v>9/1/2017</c:v>
              </c:pt>
              <c:pt idx="92">
                <c:v>9/5/2017</c:v>
              </c:pt>
              <c:pt idx="93">
                <c:v>9/6/2017</c:v>
              </c:pt>
              <c:pt idx="94">
                <c:v>9/7/2017</c:v>
              </c:pt>
              <c:pt idx="95">
                <c:v>9/8/2017</c:v>
              </c:pt>
              <c:pt idx="96">
                <c:v>9/11/2017</c:v>
              </c:pt>
              <c:pt idx="97">
                <c:v>9/12/2017</c:v>
              </c:pt>
              <c:pt idx="98">
                <c:v>9/13/2017</c:v>
              </c:pt>
              <c:pt idx="99">
                <c:v>9/14/2017</c:v>
              </c:pt>
              <c:pt idx="100">
                <c:v>9/15/2017</c:v>
              </c:pt>
              <c:pt idx="101">
                <c:v>9/18/2017</c:v>
              </c:pt>
              <c:pt idx="102">
                <c:v>9/19/2017</c:v>
              </c:pt>
              <c:pt idx="103">
                <c:v>9/20/2017</c:v>
              </c:pt>
              <c:pt idx="104">
                <c:v>9/21/2017</c:v>
              </c:pt>
              <c:pt idx="105">
                <c:v>9/22/2017</c:v>
              </c:pt>
              <c:pt idx="106">
                <c:v>9/25/2017</c:v>
              </c:pt>
              <c:pt idx="107">
                <c:v>9/26/2017</c:v>
              </c:pt>
              <c:pt idx="108">
                <c:v>9/27/2017</c:v>
              </c:pt>
              <c:pt idx="109">
                <c:v>9/28/2017</c:v>
              </c:pt>
              <c:pt idx="110">
                <c:v>9/29/2017</c:v>
              </c:pt>
              <c:pt idx="111">
                <c:v>10/2/2017</c:v>
              </c:pt>
              <c:pt idx="112">
                <c:v>10/3/2017</c:v>
              </c:pt>
              <c:pt idx="113">
                <c:v>10/4/2017</c:v>
              </c:pt>
              <c:pt idx="114">
                <c:v>10/5/2017</c:v>
              </c:pt>
              <c:pt idx="115">
                <c:v>10/6/2017</c:v>
              </c:pt>
              <c:pt idx="116">
                <c:v>10/9/2017</c:v>
              </c:pt>
              <c:pt idx="117">
                <c:v>10/10/2017</c:v>
              </c:pt>
              <c:pt idx="118">
                <c:v>10/11/2017</c:v>
              </c:pt>
              <c:pt idx="119">
                <c:v>10/12/2017</c:v>
              </c:pt>
              <c:pt idx="120">
                <c:v>10/13/2017</c:v>
              </c:pt>
              <c:pt idx="121">
                <c:v>10/16/2017</c:v>
              </c:pt>
              <c:pt idx="122">
                <c:v>10/17/2017</c:v>
              </c:pt>
              <c:pt idx="123">
                <c:v>10/18/2017</c:v>
              </c:pt>
              <c:pt idx="124">
                <c:v>10/19/2017</c:v>
              </c:pt>
              <c:pt idx="125">
                <c:v>10/20/2017</c:v>
              </c:pt>
              <c:pt idx="126">
                <c:v>10/23/2017</c:v>
              </c:pt>
              <c:pt idx="127">
                <c:v>10/24/2017</c:v>
              </c:pt>
              <c:pt idx="128">
                <c:v>10/25/2017</c:v>
              </c:pt>
              <c:pt idx="129">
                <c:v>10/26/2017</c:v>
              </c:pt>
              <c:pt idx="130">
                <c:v>10/27/2017</c:v>
              </c:pt>
              <c:pt idx="131">
                <c:v>10/30/2017</c:v>
              </c:pt>
              <c:pt idx="132">
                <c:v>10/31/2017</c:v>
              </c:pt>
              <c:pt idx="133">
                <c:v>11/1/2017</c:v>
              </c:pt>
              <c:pt idx="134">
                <c:v>11/2/2017</c:v>
              </c:pt>
              <c:pt idx="135">
                <c:v>11/3/2017</c:v>
              </c:pt>
              <c:pt idx="136">
                <c:v>11/6/2017</c:v>
              </c:pt>
              <c:pt idx="137">
                <c:v>11/7/2017</c:v>
              </c:pt>
              <c:pt idx="138">
                <c:v>11/9/2017</c:v>
              </c:pt>
            </c:strLit>
          </c:cat>
          <c:val>
            <c:numLit>
              <c:formatCode>General</c:formatCode>
              <c:ptCount val="139"/>
              <c:pt idx="0">
                <c:v>907.41</c:v>
              </c:pt>
              <c:pt idx="1">
                <c:v>907.62</c:v>
              </c:pt>
              <c:pt idx="2">
                <c:v>909.29</c:v>
              </c:pt>
              <c:pt idx="3">
                <c:v>918.76</c:v>
              </c:pt>
              <c:pt idx="4">
                <c:v>924.99</c:v>
              </c:pt>
              <c:pt idx="5">
                <c:v>948.43</c:v>
              </c:pt>
              <c:pt idx="6">
                <c:v>946.68</c:v>
              </c:pt>
              <c:pt idx="7">
                <c:v>941.03</c:v>
              </c:pt>
              <c:pt idx="8">
                <c:v>937.53</c:v>
              </c:pt>
              <c:pt idx="9">
                <c:v>934.15</c:v>
              </c:pt>
              <c:pt idx="10">
                <c:v>949.04</c:v>
              </c:pt>
              <c:pt idx="11">
                <c:v>952.82</c:v>
              </c:pt>
              <c:pt idx="12">
                <c:v>948.95</c:v>
              </c:pt>
              <c:pt idx="13">
                <c:v>947.62</c:v>
              </c:pt>
              <c:pt idx="14">
                <c:v>961.35</c:v>
              </c:pt>
              <c:pt idx="15">
                <c:v>957.97</c:v>
              </c:pt>
              <c:pt idx="16">
                <c:v>966.07</c:v>
              </c:pt>
              <c:pt idx="17">
                <c:v>944.52</c:v>
              </c:pt>
              <c:pt idx="18">
                <c:v>958.49</c:v>
              </c:pt>
              <c:pt idx="19">
                <c:v>959.84</c:v>
              </c:pt>
              <c:pt idx="20">
                <c:v>970.7</c:v>
              </c:pt>
              <c:pt idx="21">
                <c:v>971.54</c:v>
              </c:pt>
              <c:pt idx="22">
                <c:v>980.35</c:v>
              </c:pt>
              <c:pt idx="23">
                <c:v>993.38</c:v>
              </c:pt>
              <c:pt idx="24">
                <c:v>995.78</c:v>
              </c:pt>
              <c:pt idx="25">
                <c:v>996.7</c:v>
              </c:pt>
              <c:pt idx="26">
                <c:v>994.62</c:v>
              </c:pt>
              <c:pt idx="27">
                <c:v>995.95</c:v>
              </c:pt>
              <c:pt idx="28">
                <c:v>1006.73</c:v>
              </c:pt>
              <c:pt idx="29">
                <c:v>1011.34</c:v>
              </c:pt>
              <c:pt idx="30">
                <c:v>1002.97</c:v>
              </c:pt>
              <c:pt idx="31">
                <c:v>1010.07</c:v>
              </c:pt>
              <c:pt idx="32">
                <c:v>1009.94</c:v>
              </c:pt>
              <c:pt idx="33">
                <c:v>978.31</c:v>
              </c:pt>
              <c:pt idx="34">
                <c:v>964.83</c:v>
              </c:pt>
              <c:pt idx="35">
                <c:v>980.79</c:v>
              </c:pt>
              <c:pt idx="36">
                <c:v>976.47</c:v>
              </c:pt>
              <c:pt idx="37">
                <c:v>964.17</c:v>
              </c:pt>
              <c:pt idx="38">
                <c:v>987.71</c:v>
              </c:pt>
              <c:pt idx="39">
                <c:v>995.17</c:v>
              </c:pt>
              <c:pt idx="40">
                <c:v>992.59</c:v>
              </c:pt>
              <c:pt idx="41">
                <c:v>1002.23</c:v>
              </c:pt>
              <c:pt idx="42">
                <c:v>1001.3</c:v>
              </c:pt>
              <c:pt idx="43">
                <c:v>1003.74</c:v>
              </c:pt>
              <c:pt idx="44">
                <c:v>993.98</c:v>
              </c:pt>
              <c:pt idx="45">
                <c:v>976.78</c:v>
              </c:pt>
              <c:pt idx="46">
                <c:v>990.33</c:v>
              </c:pt>
              <c:pt idx="47">
                <c:v>975.93</c:v>
              </c:pt>
              <c:pt idx="48">
                <c:v>968</c:v>
              </c:pt>
              <c:pt idx="49">
                <c:v>953.66</c:v>
              </c:pt>
              <c:pt idx="50">
                <c:v>971.4</c:v>
              </c:pt>
              <c:pt idx="51">
                <c:v>965.14</c:v>
              </c:pt>
              <c:pt idx="52">
                <c:v>978.76</c:v>
              </c:pt>
              <c:pt idx="53">
                <c:v>996.47</c:v>
              </c:pt>
              <c:pt idx="54">
                <c:v>994.13</c:v>
              </c:pt>
              <c:pt idx="55">
                <c:v>1006.51</c:v>
              </c:pt>
              <c:pt idx="56">
                <c:v>999.85500000000002</c:v>
              </c:pt>
              <c:pt idx="57">
                <c:v>1001.81</c:v>
              </c:pt>
              <c:pt idx="58">
                <c:v>1010.04</c:v>
              </c:pt>
              <c:pt idx="59">
                <c:v>1024.3800000000001</c:v>
              </c:pt>
              <c:pt idx="60">
                <c:v>1026.8699999999999</c:v>
              </c:pt>
              <c:pt idx="61">
                <c:v>1028.7</c:v>
              </c:pt>
              <c:pt idx="62">
                <c:v>1025.67</c:v>
              </c:pt>
              <c:pt idx="63">
                <c:v>1038.95</c:v>
              </c:pt>
              <c:pt idx="64">
                <c:v>1039.8699999999999</c:v>
              </c:pt>
              <c:pt idx="65">
                <c:v>1052.8</c:v>
              </c:pt>
              <c:pt idx="66">
                <c:v>1046</c:v>
              </c:pt>
              <c:pt idx="67">
                <c:v>1020.04</c:v>
              </c:pt>
              <c:pt idx="68">
                <c:v>987.78</c:v>
              </c:pt>
              <c:pt idx="69">
                <c:v>996.19</c:v>
              </c:pt>
              <c:pt idx="70">
                <c:v>995.89</c:v>
              </c:pt>
              <c:pt idx="71">
                <c:v>986.92</c:v>
              </c:pt>
              <c:pt idx="72">
                <c:v>987.58</c:v>
              </c:pt>
              <c:pt idx="73">
                <c:v>989.84</c:v>
              </c:pt>
              <c:pt idx="74">
                <c:v>982.01</c:v>
              </c:pt>
              <c:pt idx="75">
                <c:v>956.92</c:v>
              </c:pt>
              <c:pt idx="76">
                <c:v>967.99</c:v>
              </c:pt>
              <c:pt idx="77">
                <c:v>983.3</c:v>
              </c:pt>
              <c:pt idx="78">
                <c:v>982.74</c:v>
              </c:pt>
              <c:pt idx="79">
                <c:v>978.18</c:v>
              </c:pt>
              <c:pt idx="80">
                <c:v>960.57</c:v>
              </c:pt>
              <c:pt idx="81">
                <c:v>958.47</c:v>
              </c:pt>
              <c:pt idx="82">
                <c:v>953.29</c:v>
              </c:pt>
              <c:pt idx="83">
                <c:v>966.9</c:v>
              </c:pt>
              <c:pt idx="84">
                <c:v>958</c:v>
              </c:pt>
              <c:pt idx="85">
                <c:v>952.45</c:v>
              </c:pt>
              <c:pt idx="86">
                <c:v>945.26</c:v>
              </c:pt>
              <c:pt idx="87">
                <c:v>946.02</c:v>
              </c:pt>
              <c:pt idx="88">
                <c:v>954.06</c:v>
              </c:pt>
              <c:pt idx="89">
                <c:v>967.59</c:v>
              </c:pt>
              <c:pt idx="90">
                <c:v>980.6</c:v>
              </c:pt>
              <c:pt idx="91">
                <c:v>978.25</c:v>
              </c:pt>
              <c:pt idx="92">
                <c:v>965.27</c:v>
              </c:pt>
              <c:pt idx="93">
                <c:v>967.8</c:v>
              </c:pt>
              <c:pt idx="94">
                <c:v>979.47</c:v>
              </c:pt>
              <c:pt idx="95">
                <c:v>965.9</c:v>
              </c:pt>
              <c:pt idx="96">
                <c:v>977.96</c:v>
              </c:pt>
              <c:pt idx="97">
                <c:v>982.58</c:v>
              </c:pt>
              <c:pt idx="98">
                <c:v>999.6</c:v>
              </c:pt>
              <c:pt idx="99">
                <c:v>992.21</c:v>
              </c:pt>
              <c:pt idx="100">
                <c:v>986.79</c:v>
              </c:pt>
              <c:pt idx="101">
                <c:v>974.19</c:v>
              </c:pt>
              <c:pt idx="102">
                <c:v>969.86</c:v>
              </c:pt>
              <c:pt idx="103">
                <c:v>973.21</c:v>
              </c:pt>
              <c:pt idx="104">
                <c:v>964.65</c:v>
              </c:pt>
              <c:pt idx="105">
                <c:v>955.1</c:v>
              </c:pt>
              <c:pt idx="106">
                <c:v>939.79</c:v>
              </c:pt>
              <c:pt idx="107">
                <c:v>938.6</c:v>
              </c:pt>
              <c:pt idx="108">
                <c:v>950.87</c:v>
              </c:pt>
              <c:pt idx="109">
                <c:v>956.4</c:v>
              </c:pt>
              <c:pt idx="110">
                <c:v>961.35</c:v>
              </c:pt>
              <c:pt idx="111">
                <c:v>959.19</c:v>
              </c:pt>
              <c:pt idx="112">
                <c:v>957.1</c:v>
              </c:pt>
              <c:pt idx="113">
                <c:v>965.45</c:v>
              </c:pt>
              <c:pt idx="114">
                <c:v>980.85</c:v>
              </c:pt>
              <c:pt idx="115">
                <c:v>989.58</c:v>
              </c:pt>
              <c:pt idx="116">
                <c:v>990.99</c:v>
              </c:pt>
              <c:pt idx="117">
                <c:v>987.2</c:v>
              </c:pt>
              <c:pt idx="118">
                <c:v>995</c:v>
              </c:pt>
              <c:pt idx="119">
                <c:v>1000.93</c:v>
              </c:pt>
              <c:pt idx="120">
                <c:v>1002.94</c:v>
              </c:pt>
              <c:pt idx="121">
                <c:v>1006.34</c:v>
              </c:pt>
              <c:pt idx="122">
                <c:v>1009.13</c:v>
              </c:pt>
              <c:pt idx="123">
                <c:v>997</c:v>
              </c:pt>
              <c:pt idx="124">
                <c:v>986.61</c:v>
              </c:pt>
              <c:pt idx="125">
                <c:v>982.91</c:v>
              </c:pt>
              <c:pt idx="126">
                <c:v>966.3</c:v>
              </c:pt>
              <c:pt idx="127">
                <c:v>975.9</c:v>
              </c:pt>
              <c:pt idx="128">
                <c:v>972.91</c:v>
              </c:pt>
              <c:pt idx="129">
                <c:v>972.43</c:v>
              </c:pt>
              <c:pt idx="130">
                <c:v>1100.95</c:v>
              </c:pt>
              <c:pt idx="131">
                <c:v>1110.8499999999999</c:v>
              </c:pt>
              <c:pt idx="132">
                <c:v>1105.28</c:v>
              </c:pt>
              <c:pt idx="133">
                <c:v>1103.68</c:v>
              </c:pt>
              <c:pt idx="134">
                <c:v>1094.22</c:v>
              </c:pt>
              <c:pt idx="135">
                <c:v>1111.5999999999999</c:v>
              </c:pt>
              <c:pt idx="136">
                <c:v>1120.6600000000001</c:v>
              </c:pt>
              <c:pt idx="137">
                <c:v>1123.17</c:v>
              </c:pt>
              <c:pt idx="138">
                <c:v>1129.1300000000001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6D90-46A9-B6DB-580F1BBD0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axId val="414689216"/>
        <c:axId val="414687256"/>
      </c:stockChart>
      <c:catAx>
        <c:axId val="41468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687256"/>
        <c:crosses val="autoZero"/>
        <c:auto val="1"/>
        <c:lblAlgn val="ctr"/>
        <c:lblOffset val="100"/>
        <c:noMultiLvlLbl val="0"/>
      </c:catAx>
      <c:valAx>
        <c:axId val="414687256"/>
        <c:scaling>
          <c:orientation val="minMax"/>
          <c:max val="1187.1299999999999"/>
          <c:min val="857.8499999999999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68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6</xdr:row>
          <xdr:rowOff>38100</xdr:rowOff>
        </xdr:from>
        <xdr:to>
          <xdr:col>15</xdr:col>
          <xdr:colOff>742950</xdr:colOff>
          <xdr:row>8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Retrieve Historical Prices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66674</xdr:colOff>
      <xdr:row>11</xdr:row>
      <xdr:rowOff>109536</xdr:rowOff>
    </xdr:from>
    <xdr:to>
      <xdr:col>31</xdr:col>
      <xdr:colOff>219075</xdr:colOff>
      <xdr:row>33</xdr:row>
      <xdr:rowOff>142875</xdr:rowOff>
    </xdr:to>
    <xdr:graphicFrame macro="">
      <xdr:nvGraphicFramePr>
        <xdr:cNvPr id="2" name="ChartStockDataCandl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1"/>
  <sheetViews>
    <sheetView workbookViewId="0">
      <selection activeCell="C15" sqref="C15"/>
    </sheetView>
  </sheetViews>
  <sheetFormatPr defaultRowHeight="15" x14ac:dyDescent="0.25"/>
  <cols>
    <col min="1" max="1" width="19.28515625" customWidth="1"/>
    <col min="2" max="2" width="12.85546875" customWidth="1"/>
    <col min="3" max="12" width="11.7109375" customWidth="1"/>
  </cols>
  <sheetData>
    <row r="1" spans="1:12" ht="15.75" thickBot="1" x14ac:dyDescent="0.3">
      <c r="A1" s="3" t="s">
        <v>5</v>
      </c>
      <c r="B1" s="4" t="str">
        <f>_xll.eqTimeNow(3)</f>
        <v>17:19:33</v>
      </c>
    </row>
    <row r="2" spans="1:12" ht="15.75" thickBot="1" x14ac:dyDescent="0.3">
      <c r="A2" s="5" t="s">
        <v>1</v>
      </c>
      <c r="B2" s="1" t="s">
        <v>2</v>
      </c>
      <c r="C2" s="1" t="s">
        <v>3</v>
      </c>
      <c r="D2" s="1" t="s">
        <v>4</v>
      </c>
      <c r="E2" s="1" t="s">
        <v>18</v>
      </c>
      <c r="F2" s="1" t="s">
        <v>19</v>
      </c>
      <c r="G2" s="1" t="s">
        <v>24</v>
      </c>
      <c r="H2" s="1" t="s">
        <v>20</v>
      </c>
      <c r="I2" s="1" t="s">
        <v>21</v>
      </c>
      <c r="J2" s="6" t="s">
        <v>22</v>
      </c>
      <c r="K2" s="7" t="s">
        <v>23</v>
      </c>
      <c r="L2" s="7" t="s">
        <v>29</v>
      </c>
    </row>
    <row r="3" spans="1:12" x14ac:dyDescent="0.25">
      <c r="A3" s="2" t="s">
        <v>13</v>
      </c>
      <c r="B3" s="2" t="str">
        <f t="array" ref="B3:J3">_xll.eqDataRTDQuote(A3,,3)</f>
        <v>#WAIT</v>
      </c>
      <c r="C3" s="2" t="str">
        <v>#WAIT</v>
      </c>
      <c r="D3" s="2" t="str">
        <v>#WAIT</v>
      </c>
      <c r="E3" s="2" t="str">
        <v>#WAIT</v>
      </c>
      <c r="F3" s="2" t="str">
        <v>#WAIT</v>
      </c>
      <c r="G3" s="2" t="str">
        <v>#WAIT</v>
      </c>
      <c r="H3" s="2" t="str">
        <v>#WAIT</v>
      </c>
      <c r="I3" s="2" t="str">
        <v>#WAIT</v>
      </c>
      <c r="J3" s="2" t="str">
        <v>#WAIT</v>
      </c>
      <c r="K3" s="2">
        <v>185</v>
      </c>
      <c r="L3" s="2" t="e">
        <f>K3*C3</f>
        <v>#VALUE!</v>
      </c>
    </row>
    <row r="4" spans="1:12" x14ac:dyDescent="0.25">
      <c r="A4" s="8" t="s">
        <v>10</v>
      </c>
      <c r="B4" s="8"/>
      <c r="C4" s="2"/>
      <c r="D4" s="2"/>
      <c r="E4" s="8"/>
      <c r="F4" s="8"/>
      <c r="G4" s="8"/>
      <c r="H4" s="8"/>
      <c r="I4" s="8"/>
      <c r="J4" s="8"/>
      <c r="K4" s="8">
        <v>300</v>
      </c>
      <c r="L4" s="8">
        <f t="shared" ref="L4:L18" si="0">K4*C4</f>
        <v>0</v>
      </c>
    </row>
    <row r="5" spans="1:12" x14ac:dyDescent="0.25">
      <c r="A5" s="2" t="s">
        <v>25</v>
      </c>
      <c r="B5" s="2"/>
      <c r="C5" s="2"/>
      <c r="D5" s="2"/>
      <c r="E5" s="2"/>
      <c r="F5" s="2"/>
      <c r="G5" s="2"/>
      <c r="H5" s="2"/>
      <c r="I5" s="2"/>
      <c r="J5" s="2"/>
      <c r="K5" s="2">
        <v>200</v>
      </c>
      <c r="L5" s="2">
        <f t="shared" si="0"/>
        <v>0</v>
      </c>
    </row>
    <row r="6" spans="1:12" x14ac:dyDescent="0.25">
      <c r="A6" s="8" t="s">
        <v>26</v>
      </c>
      <c r="B6" s="8"/>
      <c r="C6" s="2"/>
      <c r="D6" s="2"/>
      <c r="E6" s="8"/>
      <c r="F6" s="8"/>
      <c r="G6" s="8"/>
      <c r="H6" s="8"/>
      <c r="I6" s="8"/>
      <c r="J6" s="8"/>
      <c r="K6" s="8">
        <v>-343</v>
      </c>
      <c r="L6" s="8">
        <f t="shared" si="0"/>
        <v>0</v>
      </c>
    </row>
    <row r="7" spans="1:12" x14ac:dyDescent="0.25">
      <c r="A7" s="2" t="s">
        <v>12</v>
      </c>
      <c r="B7" s="2"/>
      <c r="C7" s="2"/>
      <c r="D7" s="2"/>
      <c r="E7" s="2"/>
      <c r="F7" s="2"/>
      <c r="G7" s="2"/>
      <c r="H7" s="2"/>
      <c r="I7" s="2"/>
      <c r="J7" s="2"/>
      <c r="K7" s="2">
        <v>-114</v>
      </c>
      <c r="L7" s="2">
        <f t="shared" si="0"/>
        <v>0</v>
      </c>
    </row>
    <row r="8" spans="1:12" x14ac:dyDescent="0.25">
      <c r="A8" s="8" t="s">
        <v>15</v>
      </c>
      <c r="B8" s="8"/>
      <c r="C8" s="2"/>
      <c r="D8" s="2"/>
      <c r="E8" s="8"/>
      <c r="F8" s="8"/>
      <c r="G8" s="8"/>
      <c r="H8" s="8"/>
      <c r="I8" s="8"/>
      <c r="J8" s="8"/>
      <c r="K8" s="8">
        <v>-61</v>
      </c>
      <c r="L8" s="8">
        <f t="shared" si="0"/>
        <v>0</v>
      </c>
    </row>
    <row r="9" spans="1:12" x14ac:dyDescent="0.25">
      <c r="A9" s="2" t="s">
        <v>7</v>
      </c>
      <c r="B9" s="2"/>
      <c r="C9" s="2"/>
      <c r="D9" s="2"/>
      <c r="E9" s="2"/>
      <c r="F9" s="2"/>
      <c r="G9" s="2"/>
      <c r="H9" s="2"/>
      <c r="I9" s="2"/>
      <c r="J9" s="2"/>
      <c r="K9" s="2">
        <v>1230</v>
      </c>
      <c r="L9" s="2">
        <f t="shared" si="0"/>
        <v>0</v>
      </c>
    </row>
    <row r="10" spans="1:12" x14ac:dyDescent="0.25">
      <c r="A10" s="8" t="s">
        <v>27</v>
      </c>
      <c r="B10" s="8"/>
      <c r="C10" s="2"/>
      <c r="D10" s="2"/>
      <c r="E10" s="8"/>
      <c r="F10" s="8"/>
      <c r="G10" s="8"/>
      <c r="H10" s="8"/>
      <c r="I10" s="8"/>
      <c r="J10" s="8"/>
      <c r="K10" s="8">
        <v>-52</v>
      </c>
      <c r="L10" s="8">
        <f t="shared" si="0"/>
        <v>0</v>
      </c>
    </row>
    <row r="11" spans="1:12" x14ac:dyDescent="0.25">
      <c r="A11" s="2" t="s">
        <v>8</v>
      </c>
      <c r="B11" s="2"/>
      <c r="C11" s="2"/>
      <c r="D11" s="2"/>
      <c r="E11" s="2"/>
      <c r="F11" s="2"/>
      <c r="G11" s="2"/>
      <c r="H11" s="2"/>
      <c r="I11" s="2"/>
      <c r="J11" s="2"/>
      <c r="K11" s="2">
        <v>175</v>
      </c>
      <c r="L11" s="2">
        <f t="shared" si="0"/>
        <v>0</v>
      </c>
    </row>
    <row r="12" spans="1:12" x14ac:dyDescent="0.25">
      <c r="A12" s="8" t="s">
        <v>9</v>
      </c>
      <c r="B12" s="8"/>
      <c r="C12" s="2"/>
      <c r="D12" s="2"/>
      <c r="E12" s="8"/>
      <c r="F12" s="8"/>
      <c r="G12" s="8"/>
      <c r="H12" s="8"/>
      <c r="I12" s="8"/>
      <c r="J12" s="8"/>
      <c r="K12" s="8">
        <v>-410</v>
      </c>
      <c r="L12" s="8">
        <f t="shared" si="0"/>
        <v>0</v>
      </c>
    </row>
    <row r="13" spans="1:12" x14ac:dyDescent="0.25">
      <c r="A13" s="2" t="s">
        <v>11</v>
      </c>
      <c r="B13" s="2"/>
      <c r="C13" s="2"/>
      <c r="D13" s="2"/>
      <c r="E13" s="2"/>
      <c r="F13" s="2"/>
      <c r="G13" s="2"/>
      <c r="H13" s="2"/>
      <c r="I13" s="2"/>
      <c r="J13" s="2"/>
      <c r="K13" s="2">
        <v>-52</v>
      </c>
      <c r="L13" s="2">
        <f t="shared" si="0"/>
        <v>0</v>
      </c>
    </row>
    <row r="14" spans="1:12" x14ac:dyDescent="0.25">
      <c r="A14" s="8" t="s">
        <v>6</v>
      </c>
      <c r="B14" s="8"/>
      <c r="C14" s="2"/>
      <c r="D14" s="2"/>
      <c r="E14" s="8"/>
      <c r="F14" s="8"/>
      <c r="G14" s="8"/>
      <c r="H14" s="8"/>
      <c r="I14" s="8"/>
      <c r="J14" s="8"/>
      <c r="K14" s="8">
        <v>114</v>
      </c>
      <c r="L14" s="8">
        <f t="shared" si="0"/>
        <v>0</v>
      </c>
    </row>
    <row r="15" spans="1:12" x14ac:dyDescent="0.25">
      <c r="A15" s="2" t="s">
        <v>14</v>
      </c>
      <c r="B15" s="2"/>
      <c r="C15" s="2"/>
      <c r="D15" s="2"/>
      <c r="E15" s="2"/>
      <c r="F15" s="2"/>
      <c r="G15" s="2"/>
      <c r="H15" s="2"/>
      <c r="I15" s="2"/>
      <c r="J15" s="2"/>
      <c r="K15" s="2">
        <v>194</v>
      </c>
      <c r="L15" s="2">
        <f t="shared" si="0"/>
        <v>0</v>
      </c>
    </row>
    <row r="16" spans="1:12" x14ac:dyDescent="0.25">
      <c r="A16" s="8" t="s">
        <v>0</v>
      </c>
      <c r="B16" s="8"/>
      <c r="C16" s="2"/>
      <c r="D16" s="2"/>
      <c r="E16" s="8"/>
      <c r="F16" s="8"/>
      <c r="G16" s="8"/>
      <c r="H16" s="8"/>
      <c r="I16" s="8"/>
      <c r="J16" s="8"/>
      <c r="K16" s="8">
        <v>-187</v>
      </c>
      <c r="L16" s="8">
        <f t="shared" si="0"/>
        <v>0</v>
      </c>
    </row>
    <row r="17" spans="1:12" x14ac:dyDescent="0.25">
      <c r="A17" s="2" t="s">
        <v>16</v>
      </c>
      <c r="B17" s="2"/>
      <c r="C17" s="2"/>
      <c r="D17" s="2"/>
      <c r="E17" s="2"/>
      <c r="F17" s="2"/>
      <c r="G17" s="2"/>
      <c r="H17" s="2"/>
      <c r="I17" s="2"/>
      <c r="J17" s="2"/>
      <c r="K17" s="2">
        <v>-200</v>
      </c>
      <c r="L17" s="2">
        <f t="shared" si="0"/>
        <v>0</v>
      </c>
    </row>
    <row r="18" spans="1:12" x14ac:dyDescent="0.25">
      <c r="A18" s="8" t="s">
        <v>17</v>
      </c>
      <c r="B18" s="8"/>
      <c r="C18" s="2"/>
      <c r="D18" s="2"/>
      <c r="E18" s="8"/>
      <c r="F18" s="8"/>
      <c r="G18" s="8"/>
      <c r="H18" s="8"/>
      <c r="I18" s="8"/>
      <c r="J18" s="8"/>
      <c r="K18" s="8">
        <v>300</v>
      </c>
      <c r="L18" s="8">
        <f t="shared" si="0"/>
        <v>0</v>
      </c>
    </row>
    <row r="19" spans="1:12" x14ac:dyDescent="0.25">
      <c r="A19" s="9" t="s">
        <v>28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2" t="e">
        <f>SUM(L3:L18)</f>
        <v>#VALUE!</v>
      </c>
    </row>
    <row r="20" spans="1:12" x14ac:dyDescent="0.25">
      <c r="A20" s="11" t="s">
        <v>30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2">
        <f>SUMIF(L3:L18,"&gt;0",L3:L18)</f>
        <v>0</v>
      </c>
    </row>
    <row r="21" spans="1:12" x14ac:dyDescent="0.25">
      <c r="A21" s="11" t="s">
        <v>31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2">
        <f>SUMIF(L3:L18,"&lt;0",L3:L18)</f>
        <v>0</v>
      </c>
    </row>
  </sheetData>
  <autoFilter ref="A2:J2"/>
  <conditionalFormatting sqref="C3:C18">
    <cfRule type="expression" dxfId="5" priority="13">
      <formula>LEFT(C3,1)&lt;&gt;"-"</formula>
    </cfRule>
    <cfRule type="expression" dxfId="4" priority="14">
      <formula>LEFT(C3,1)="-"</formula>
    </cfRule>
  </conditionalFormatting>
  <conditionalFormatting sqref="D3:D18">
    <cfRule type="expression" dxfId="3" priority="7">
      <formula>LEFT(D3,1)&lt;&gt;"-"</formula>
    </cfRule>
    <cfRule type="expression" dxfId="2" priority="8">
      <formula>LEFT(D3,1)="-"</formula>
    </cfRule>
  </conditionalFormatting>
  <conditionalFormatting sqref="L19:L21">
    <cfRule type="expression" dxfId="1" priority="1">
      <formula>LEFT(L19,1)&lt;&gt;"-"</formula>
    </cfRule>
    <cfRule type="expression" dxfId="0" priority="2">
      <formula>LEFT(L19,1)="-"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175"/>
  <sheetViews>
    <sheetView tabSelected="1" topLeftCell="H1" workbookViewId="0">
      <selection activeCell="AH29" sqref="AH29"/>
    </sheetView>
  </sheetViews>
  <sheetFormatPr defaultRowHeight="15" x14ac:dyDescent="0.25"/>
  <cols>
    <col min="1" max="1" width="10.7109375" style="19" bestFit="1" customWidth="1"/>
    <col min="15" max="15" width="13.7109375" customWidth="1"/>
    <col min="16" max="16" width="12" customWidth="1"/>
  </cols>
  <sheetData>
    <row r="1" spans="1:16" x14ac:dyDescent="0.25">
      <c r="A1" s="19" t="s">
        <v>37</v>
      </c>
      <c r="B1" t="s">
        <v>24</v>
      </c>
      <c r="C1" t="s">
        <v>20</v>
      </c>
      <c r="D1" t="s">
        <v>21</v>
      </c>
      <c r="E1" t="s">
        <v>38</v>
      </c>
      <c r="F1" t="s">
        <v>22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O1" s="12" t="s">
        <v>32</v>
      </c>
      <c r="P1" s="15" t="s">
        <v>16</v>
      </c>
    </row>
    <row r="2" spans="1:16" x14ac:dyDescent="0.25">
      <c r="A2" s="19">
        <v>42849</v>
      </c>
      <c r="B2">
        <v>908.68</v>
      </c>
      <c r="C2">
        <v>909.99</v>
      </c>
      <c r="D2">
        <v>903.82</v>
      </c>
      <c r="E2">
        <v>907.41</v>
      </c>
      <c r="F2">
        <v>3118123</v>
      </c>
      <c r="G2">
        <v>0</v>
      </c>
      <c r="H2">
        <v>1</v>
      </c>
      <c r="I2">
        <v>908.68</v>
      </c>
      <c r="J2">
        <v>909.99</v>
      </c>
      <c r="K2">
        <v>903.82</v>
      </c>
      <c r="L2">
        <v>907.41</v>
      </c>
      <c r="M2">
        <v>3118123</v>
      </c>
      <c r="O2" s="13" t="s">
        <v>33</v>
      </c>
      <c r="P2" s="18">
        <f ca="1">P3-200</f>
        <v>42849</v>
      </c>
    </row>
    <row r="3" spans="1:16" x14ac:dyDescent="0.25">
      <c r="A3" s="19">
        <v>42850</v>
      </c>
      <c r="B3">
        <v>907.04</v>
      </c>
      <c r="C3">
        <v>909.48</v>
      </c>
      <c r="D3">
        <v>903</v>
      </c>
      <c r="E3">
        <v>907.62</v>
      </c>
      <c r="F3">
        <v>3367734</v>
      </c>
      <c r="G3">
        <v>0</v>
      </c>
      <c r="H3">
        <v>1</v>
      </c>
      <c r="I3">
        <v>907.04</v>
      </c>
      <c r="J3">
        <v>909.48</v>
      </c>
      <c r="K3">
        <v>903</v>
      </c>
      <c r="L3">
        <v>907.62</v>
      </c>
      <c r="M3">
        <v>3367734</v>
      </c>
      <c r="O3" s="13" t="s">
        <v>34</v>
      </c>
      <c r="P3" s="18">
        <f ca="1">TODAY()</f>
        <v>43049</v>
      </c>
    </row>
    <row r="4" spans="1:16" x14ac:dyDescent="0.25">
      <c r="A4" s="19">
        <v>42851</v>
      </c>
      <c r="B4">
        <v>910.3</v>
      </c>
      <c r="C4">
        <v>915.74900000000002</v>
      </c>
      <c r="D4">
        <v>907.56</v>
      </c>
      <c r="E4">
        <v>909.29</v>
      </c>
      <c r="F4">
        <v>2562595</v>
      </c>
      <c r="G4">
        <v>0</v>
      </c>
      <c r="H4">
        <v>1</v>
      </c>
      <c r="I4">
        <v>910.3</v>
      </c>
      <c r="J4">
        <v>915.74900000000002</v>
      </c>
      <c r="K4">
        <v>907.56</v>
      </c>
      <c r="L4">
        <v>909.29</v>
      </c>
      <c r="M4">
        <v>2562595</v>
      </c>
      <c r="O4" s="13" t="s">
        <v>35</v>
      </c>
      <c r="P4" s="16" t="s">
        <v>39</v>
      </c>
    </row>
    <row r="5" spans="1:16" ht="15.75" thickBot="1" x14ac:dyDescent="0.3">
      <c r="A5" s="19">
        <v>42852</v>
      </c>
      <c r="B5">
        <v>914.39</v>
      </c>
      <c r="C5">
        <v>921.86</v>
      </c>
      <c r="D5">
        <v>912.11</v>
      </c>
      <c r="E5">
        <v>918.76</v>
      </c>
      <c r="F5">
        <v>4255693</v>
      </c>
      <c r="G5">
        <v>0</v>
      </c>
      <c r="H5">
        <v>1</v>
      </c>
      <c r="I5">
        <v>914.39</v>
      </c>
      <c r="J5">
        <v>921.86</v>
      </c>
      <c r="K5">
        <v>912.11</v>
      </c>
      <c r="L5">
        <v>918.76</v>
      </c>
      <c r="M5">
        <v>4255693</v>
      </c>
      <c r="O5" s="14" t="s">
        <v>36</v>
      </c>
      <c r="P5" s="17" t="b">
        <v>0</v>
      </c>
    </row>
    <row r="6" spans="1:16" x14ac:dyDescent="0.25">
      <c r="A6" s="19">
        <v>42853</v>
      </c>
      <c r="B6">
        <v>948.83</v>
      </c>
      <c r="C6">
        <v>949.59</v>
      </c>
      <c r="D6">
        <v>924.33349999999996</v>
      </c>
      <c r="E6">
        <v>924.99</v>
      </c>
      <c r="F6">
        <v>7278819</v>
      </c>
      <c r="G6">
        <v>0</v>
      </c>
      <c r="H6">
        <v>1</v>
      </c>
      <c r="I6">
        <v>948.83</v>
      </c>
      <c r="J6">
        <v>949.59</v>
      </c>
      <c r="K6">
        <v>924.33349999999996</v>
      </c>
      <c r="L6">
        <v>924.99</v>
      </c>
      <c r="M6">
        <v>7278819</v>
      </c>
    </row>
    <row r="7" spans="1:16" x14ac:dyDescent="0.25">
      <c r="A7" s="19">
        <v>42856</v>
      </c>
      <c r="B7">
        <v>927.8</v>
      </c>
      <c r="C7">
        <v>954.4</v>
      </c>
      <c r="D7">
        <v>927.8</v>
      </c>
      <c r="E7">
        <v>948.43</v>
      </c>
      <c r="F7">
        <v>5415793</v>
      </c>
      <c r="G7">
        <v>0</v>
      </c>
      <c r="H7">
        <v>1</v>
      </c>
      <c r="I7">
        <v>927.8</v>
      </c>
      <c r="J7">
        <v>954.4</v>
      </c>
      <c r="K7">
        <v>927.8</v>
      </c>
      <c r="L7">
        <v>948.43</v>
      </c>
      <c r="M7">
        <v>5415793</v>
      </c>
    </row>
    <row r="8" spans="1:16" x14ac:dyDescent="0.25">
      <c r="A8" s="19">
        <v>42857</v>
      </c>
      <c r="B8">
        <v>946.64499999999998</v>
      </c>
      <c r="C8">
        <v>950.1</v>
      </c>
      <c r="D8">
        <v>941.41300000000001</v>
      </c>
      <c r="E8">
        <v>946.68</v>
      </c>
      <c r="F8">
        <v>3800912</v>
      </c>
      <c r="G8">
        <v>0</v>
      </c>
      <c r="H8">
        <v>1</v>
      </c>
      <c r="I8">
        <v>946.64499999999998</v>
      </c>
      <c r="J8">
        <v>950.1</v>
      </c>
      <c r="K8">
        <v>941.41300000000001</v>
      </c>
      <c r="L8">
        <v>946.68</v>
      </c>
      <c r="M8">
        <v>3800912</v>
      </c>
    </row>
    <row r="9" spans="1:16" x14ac:dyDescent="0.25">
      <c r="A9" s="19">
        <v>42858</v>
      </c>
      <c r="B9">
        <v>946</v>
      </c>
      <c r="C9">
        <v>946</v>
      </c>
      <c r="D9">
        <v>935.9</v>
      </c>
      <c r="E9">
        <v>941.03</v>
      </c>
      <c r="F9">
        <v>3544234</v>
      </c>
      <c r="G9">
        <v>0</v>
      </c>
      <c r="H9">
        <v>1</v>
      </c>
      <c r="I9">
        <v>946</v>
      </c>
      <c r="J9">
        <v>946</v>
      </c>
      <c r="K9">
        <v>935.9</v>
      </c>
      <c r="L9">
        <v>941.03</v>
      </c>
      <c r="M9">
        <v>3544234</v>
      </c>
    </row>
    <row r="10" spans="1:16" x14ac:dyDescent="0.25">
      <c r="A10" s="19">
        <v>42859</v>
      </c>
      <c r="B10">
        <v>944.75</v>
      </c>
      <c r="C10">
        <v>945</v>
      </c>
      <c r="D10">
        <v>934.21500000000003</v>
      </c>
      <c r="E10">
        <v>937.53</v>
      </c>
      <c r="F10">
        <v>2380874</v>
      </c>
      <c r="G10">
        <v>0</v>
      </c>
      <c r="H10">
        <v>1</v>
      </c>
      <c r="I10">
        <v>944.75</v>
      </c>
      <c r="J10">
        <v>945</v>
      </c>
      <c r="K10">
        <v>934.21500000000003</v>
      </c>
      <c r="L10">
        <v>937.53</v>
      </c>
      <c r="M10">
        <v>2380874</v>
      </c>
    </row>
    <row r="11" spans="1:16" x14ac:dyDescent="0.25">
      <c r="A11" s="19">
        <v>42860</v>
      </c>
      <c r="B11">
        <v>940.52</v>
      </c>
      <c r="C11">
        <v>940.79</v>
      </c>
      <c r="D11">
        <v>930.3</v>
      </c>
      <c r="E11">
        <v>934.15</v>
      </c>
      <c r="F11">
        <v>2856585</v>
      </c>
      <c r="G11">
        <v>0</v>
      </c>
      <c r="H11">
        <v>1</v>
      </c>
      <c r="I11">
        <v>940.52</v>
      </c>
      <c r="J11">
        <v>940.79</v>
      </c>
      <c r="K11">
        <v>930.3</v>
      </c>
      <c r="L11">
        <v>934.15</v>
      </c>
      <c r="M11">
        <v>2856585</v>
      </c>
    </row>
    <row r="12" spans="1:16" x14ac:dyDescent="0.25">
      <c r="A12" s="19">
        <v>42863</v>
      </c>
      <c r="B12">
        <v>940.95</v>
      </c>
      <c r="C12">
        <v>949.05</v>
      </c>
      <c r="D12">
        <v>939.21</v>
      </c>
      <c r="E12">
        <v>949.04</v>
      </c>
      <c r="F12">
        <v>3370672</v>
      </c>
      <c r="G12">
        <v>0</v>
      </c>
      <c r="H12">
        <v>1</v>
      </c>
      <c r="I12">
        <v>940.95</v>
      </c>
      <c r="J12">
        <v>949.05</v>
      </c>
      <c r="K12">
        <v>939.21</v>
      </c>
      <c r="L12">
        <v>949.04</v>
      </c>
      <c r="M12">
        <v>3370672</v>
      </c>
    </row>
    <row r="13" spans="1:16" x14ac:dyDescent="0.25">
      <c r="A13" s="19">
        <v>42864</v>
      </c>
      <c r="B13">
        <v>952.8</v>
      </c>
      <c r="C13">
        <v>957.89</v>
      </c>
      <c r="D13">
        <v>950.2</v>
      </c>
      <c r="E13">
        <v>952.82</v>
      </c>
      <c r="F13">
        <v>3230630</v>
      </c>
      <c r="G13">
        <v>0</v>
      </c>
      <c r="H13">
        <v>1</v>
      </c>
      <c r="I13">
        <v>952.8</v>
      </c>
      <c r="J13">
        <v>957.89</v>
      </c>
      <c r="K13">
        <v>950.2</v>
      </c>
      <c r="L13">
        <v>952.82</v>
      </c>
      <c r="M13">
        <v>3230630</v>
      </c>
    </row>
    <row r="14" spans="1:16" x14ac:dyDescent="0.25">
      <c r="A14" s="19">
        <v>42865</v>
      </c>
      <c r="B14">
        <v>953.5</v>
      </c>
      <c r="C14">
        <v>953.74990000000003</v>
      </c>
      <c r="D14">
        <v>945</v>
      </c>
      <c r="E14">
        <v>948.95</v>
      </c>
      <c r="F14">
        <v>2083441</v>
      </c>
      <c r="G14">
        <v>0</v>
      </c>
      <c r="H14">
        <v>1</v>
      </c>
      <c r="I14">
        <v>953.5</v>
      </c>
      <c r="J14">
        <v>953.74990000000003</v>
      </c>
      <c r="K14">
        <v>945</v>
      </c>
      <c r="L14">
        <v>948.95</v>
      </c>
      <c r="M14">
        <v>2083441</v>
      </c>
    </row>
    <row r="15" spans="1:16" x14ac:dyDescent="0.25">
      <c r="A15" s="19">
        <v>42866</v>
      </c>
      <c r="B15">
        <v>945.11</v>
      </c>
      <c r="C15">
        <v>950.29</v>
      </c>
      <c r="D15">
        <v>940.77499999999998</v>
      </c>
      <c r="E15">
        <v>947.62</v>
      </c>
      <c r="F15">
        <v>2135393</v>
      </c>
      <c r="G15">
        <v>0</v>
      </c>
      <c r="H15">
        <v>1</v>
      </c>
      <c r="I15">
        <v>945.11</v>
      </c>
      <c r="J15">
        <v>950.29</v>
      </c>
      <c r="K15">
        <v>940.77499999999998</v>
      </c>
      <c r="L15">
        <v>947.62</v>
      </c>
      <c r="M15">
        <v>2135393</v>
      </c>
    </row>
    <row r="16" spans="1:16" x14ac:dyDescent="0.25">
      <c r="A16" s="19">
        <v>42867</v>
      </c>
      <c r="B16">
        <v>954.5</v>
      </c>
      <c r="C16">
        <v>962.79</v>
      </c>
      <c r="D16">
        <v>951.53</v>
      </c>
      <c r="E16">
        <v>961.35</v>
      </c>
      <c r="F16">
        <v>3605620</v>
      </c>
      <c r="G16">
        <v>0</v>
      </c>
      <c r="H16">
        <v>1</v>
      </c>
      <c r="I16">
        <v>954.5</v>
      </c>
      <c r="J16">
        <v>962.79</v>
      </c>
      <c r="K16">
        <v>951.53</v>
      </c>
      <c r="L16">
        <v>961.35</v>
      </c>
      <c r="M16">
        <v>3605620</v>
      </c>
    </row>
    <row r="17" spans="1:13" x14ac:dyDescent="0.25">
      <c r="A17" s="19">
        <v>42870</v>
      </c>
      <c r="B17">
        <v>958.73</v>
      </c>
      <c r="C17">
        <v>963.15</v>
      </c>
      <c r="D17">
        <v>956.05499999999995</v>
      </c>
      <c r="E17">
        <v>957.97</v>
      </c>
      <c r="F17">
        <v>4245856</v>
      </c>
      <c r="G17">
        <v>0</v>
      </c>
      <c r="H17">
        <v>1</v>
      </c>
      <c r="I17">
        <v>958.73</v>
      </c>
      <c r="J17">
        <v>963.15</v>
      </c>
      <c r="K17">
        <v>956.05499999999995</v>
      </c>
      <c r="L17">
        <v>957.97</v>
      </c>
      <c r="M17">
        <v>4245856</v>
      </c>
    </row>
    <row r="18" spans="1:13" x14ac:dyDescent="0.25">
      <c r="A18" s="19">
        <v>42871</v>
      </c>
      <c r="B18">
        <v>961</v>
      </c>
      <c r="C18">
        <v>970.06</v>
      </c>
      <c r="D18">
        <v>960.91</v>
      </c>
      <c r="E18">
        <v>966.07</v>
      </c>
      <c r="F18">
        <v>3050005</v>
      </c>
      <c r="G18">
        <v>0</v>
      </c>
      <c r="H18">
        <v>1</v>
      </c>
      <c r="I18">
        <v>961</v>
      </c>
      <c r="J18">
        <v>970.06</v>
      </c>
      <c r="K18">
        <v>960.91</v>
      </c>
      <c r="L18">
        <v>966.07</v>
      </c>
      <c r="M18">
        <v>3050005</v>
      </c>
    </row>
    <row r="19" spans="1:13" x14ac:dyDescent="0.25">
      <c r="A19" s="19">
        <v>42872</v>
      </c>
      <c r="B19">
        <v>954.7</v>
      </c>
      <c r="C19">
        <v>960.39570000000003</v>
      </c>
      <c r="D19">
        <v>944.12</v>
      </c>
      <c r="E19">
        <v>944.52</v>
      </c>
      <c r="F19">
        <v>5073254</v>
      </c>
      <c r="G19">
        <v>0</v>
      </c>
      <c r="H19">
        <v>1</v>
      </c>
      <c r="I19">
        <v>954.7</v>
      </c>
      <c r="J19">
        <v>960.39570000000003</v>
      </c>
      <c r="K19">
        <v>944.12</v>
      </c>
      <c r="L19">
        <v>944.52</v>
      </c>
      <c r="M19">
        <v>5073254</v>
      </c>
    </row>
    <row r="20" spans="1:13" x14ac:dyDescent="0.25">
      <c r="A20" s="19">
        <v>42873</v>
      </c>
      <c r="B20">
        <v>944.8</v>
      </c>
      <c r="C20">
        <v>962.75</v>
      </c>
      <c r="D20">
        <v>944.76</v>
      </c>
      <c r="E20">
        <v>958.49</v>
      </c>
      <c r="F20">
        <v>3876816</v>
      </c>
      <c r="G20">
        <v>0</v>
      </c>
      <c r="H20">
        <v>1</v>
      </c>
      <c r="I20">
        <v>944.8</v>
      </c>
      <c r="J20">
        <v>962.75</v>
      </c>
      <c r="K20">
        <v>944.76</v>
      </c>
      <c r="L20">
        <v>958.49</v>
      </c>
      <c r="M20">
        <v>3876816</v>
      </c>
    </row>
    <row r="21" spans="1:13" x14ac:dyDescent="0.25">
      <c r="A21" s="19">
        <v>42874</v>
      </c>
      <c r="B21">
        <v>962.84</v>
      </c>
      <c r="C21">
        <v>968.92</v>
      </c>
      <c r="D21">
        <v>959.72</v>
      </c>
      <c r="E21">
        <v>959.84</v>
      </c>
      <c r="F21">
        <v>3846299</v>
      </c>
      <c r="G21">
        <v>0</v>
      </c>
      <c r="H21">
        <v>1</v>
      </c>
      <c r="I21">
        <v>962.84</v>
      </c>
      <c r="J21">
        <v>968.92</v>
      </c>
      <c r="K21">
        <v>959.72</v>
      </c>
      <c r="L21">
        <v>959.84</v>
      </c>
      <c r="M21">
        <v>3846299</v>
      </c>
    </row>
    <row r="22" spans="1:13" x14ac:dyDescent="0.25">
      <c r="A22" s="19">
        <v>42877</v>
      </c>
      <c r="B22">
        <v>964</v>
      </c>
      <c r="C22">
        <v>971.38</v>
      </c>
      <c r="D22">
        <v>962.9</v>
      </c>
      <c r="E22">
        <v>970.7</v>
      </c>
      <c r="F22">
        <v>2613805</v>
      </c>
      <c r="G22">
        <v>0</v>
      </c>
      <c r="H22">
        <v>1</v>
      </c>
      <c r="I22">
        <v>964</v>
      </c>
      <c r="J22">
        <v>971.38</v>
      </c>
      <c r="K22">
        <v>962.9</v>
      </c>
      <c r="L22">
        <v>970.7</v>
      </c>
      <c r="M22">
        <v>2613805</v>
      </c>
    </row>
    <row r="23" spans="1:13" x14ac:dyDescent="0.25">
      <c r="A23" s="19">
        <v>42878</v>
      </c>
      <c r="B23">
        <v>975.02</v>
      </c>
      <c r="C23">
        <v>975.2</v>
      </c>
      <c r="D23">
        <v>966.85</v>
      </c>
      <c r="E23">
        <v>971.54</v>
      </c>
      <c r="F23">
        <v>2395510</v>
      </c>
      <c r="G23">
        <v>0</v>
      </c>
      <c r="H23">
        <v>1</v>
      </c>
      <c r="I23">
        <v>975.02</v>
      </c>
      <c r="J23">
        <v>975.2</v>
      </c>
      <c r="K23">
        <v>966.85</v>
      </c>
      <c r="L23">
        <v>971.54</v>
      </c>
      <c r="M23">
        <v>2395510</v>
      </c>
    </row>
    <row r="24" spans="1:13" x14ac:dyDescent="0.25">
      <c r="A24" s="19">
        <v>42879</v>
      </c>
      <c r="B24">
        <v>976</v>
      </c>
      <c r="C24">
        <v>981</v>
      </c>
      <c r="D24">
        <v>970.23</v>
      </c>
      <c r="E24">
        <v>980.35</v>
      </c>
      <c r="F24">
        <v>2407995</v>
      </c>
      <c r="G24">
        <v>0</v>
      </c>
      <c r="H24">
        <v>1</v>
      </c>
      <c r="I24">
        <v>976</v>
      </c>
      <c r="J24">
        <v>981</v>
      </c>
      <c r="K24">
        <v>970.23</v>
      </c>
      <c r="L24">
        <v>980.35</v>
      </c>
      <c r="M24">
        <v>2407995</v>
      </c>
    </row>
    <row r="25" spans="1:13" x14ac:dyDescent="0.25">
      <c r="A25" s="19">
        <v>42880</v>
      </c>
      <c r="B25">
        <v>984.85</v>
      </c>
      <c r="C25">
        <v>999</v>
      </c>
      <c r="D25">
        <v>982.11</v>
      </c>
      <c r="E25">
        <v>993.38</v>
      </c>
      <c r="F25">
        <v>4737390</v>
      </c>
      <c r="G25">
        <v>0</v>
      </c>
      <c r="H25">
        <v>1</v>
      </c>
      <c r="I25">
        <v>984.85</v>
      </c>
      <c r="J25">
        <v>999</v>
      </c>
      <c r="K25">
        <v>982.11</v>
      </c>
      <c r="L25">
        <v>993.38</v>
      </c>
      <c r="M25">
        <v>4737390</v>
      </c>
    </row>
    <row r="26" spans="1:13" x14ac:dyDescent="0.25">
      <c r="A26" s="19">
        <v>42881</v>
      </c>
      <c r="B26">
        <v>995</v>
      </c>
      <c r="C26">
        <v>998.65</v>
      </c>
      <c r="D26">
        <v>989.2491</v>
      </c>
      <c r="E26">
        <v>995.78</v>
      </c>
      <c r="F26">
        <v>3394090</v>
      </c>
      <c r="G26">
        <v>0</v>
      </c>
      <c r="H26">
        <v>1</v>
      </c>
      <c r="I26">
        <v>995</v>
      </c>
      <c r="J26">
        <v>998.65</v>
      </c>
      <c r="K26">
        <v>989.2491</v>
      </c>
      <c r="L26">
        <v>995.78</v>
      </c>
      <c r="M26">
        <v>3394090</v>
      </c>
    </row>
    <row r="27" spans="1:13" x14ac:dyDescent="0.25">
      <c r="A27" s="19">
        <v>42885</v>
      </c>
      <c r="B27">
        <v>996.51</v>
      </c>
      <c r="C27">
        <v>1001.2</v>
      </c>
      <c r="D27">
        <v>995.52</v>
      </c>
      <c r="E27">
        <v>996.7</v>
      </c>
      <c r="F27">
        <v>3245760</v>
      </c>
      <c r="G27">
        <v>0</v>
      </c>
      <c r="H27">
        <v>1</v>
      </c>
      <c r="I27">
        <v>996.51</v>
      </c>
      <c r="J27">
        <v>1001.2</v>
      </c>
      <c r="K27">
        <v>995.52</v>
      </c>
      <c r="L27">
        <v>996.7</v>
      </c>
      <c r="M27">
        <v>3245760</v>
      </c>
    </row>
    <row r="28" spans="1:13" x14ac:dyDescent="0.25">
      <c r="A28" s="19">
        <v>42886</v>
      </c>
      <c r="B28">
        <v>1000</v>
      </c>
      <c r="C28">
        <v>1000.12</v>
      </c>
      <c r="D28">
        <v>982.16</v>
      </c>
      <c r="E28">
        <v>994.62</v>
      </c>
      <c r="F28">
        <v>3912535</v>
      </c>
      <c r="G28">
        <v>0</v>
      </c>
      <c r="H28">
        <v>1</v>
      </c>
      <c r="I28">
        <v>1000</v>
      </c>
      <c r="J28">
        <v>1000.12</v>
      </c>
      <c r="K28">
        <v>982.16</v>
      </c>
      <c r="L28">
        <v>994.62</v>
      </c>
      <c r="M28">
        <v>3912535</v>
      </c>
    </row>
    <row r="29" spans="1:13" x14ac:dyDescent="0.25">
      <c r="A29" s="19">
        <v>42887</v>
      </c>
      <c r="B29">
        <v>998.59</v>
      </c>
      <c r="C29">
        <v>998.99</v>
      </c>
      <c r="D29">
        <v>991.37</v>
      </c>
      <c r="E29">
        <v>995.95</v>
      </c>
      <c r="F29">
        <v>2384298</v>
      </c>
      <c r="G29">
        <v>0</v>
      </c>
      <c r="H29">
        <v>1</v>
      </c>
      <c r="I29">
        <v>998.59</v>
      </c>
      <c r="J29">
        <v>998.99</v>
      </c>
      <c r="K29">
        <v>991.37</v>
      </c>
      <c r="L29">
        <v>995.95</v>
      </c>
      <c r="M29">
        <v>2384298</v>
      </c>
    </row>
    <row r="30" spans="1:13" x14ac:dyDescent="0.25">
      <c r="A30" s="19">
        <v>42888</v>
      </c>
      <c r="B30">
        <v>998.99</v>
      </c>
      <c r="C30">
        <v>1008.48</v>
      </c>
      <c r="D30">
        <v>995.67</v>
      </c>
      <c r="E30">
        <v>1006.73</v>
      </c>
      <c r="F30">
        <v>3714954</v>
      </c>
      <c r="G30">
        <v>0</v>
      </c>
      <c r="H30">
        <v>1</v>
      </c>
      <c r="I30">
        <v>998.99</v>
      </c>
      <c r="J30">
        <v>1008.48</v>
      </c>
      <c r="K30">
        <v>995.67</v>
      </c>
      <c r="L30">
        <v>1006.73</v>
      </c>
      <c r="M30">
        <v>3714954</v>
      </c>
    </row>
    <row r="31" spans="1:13" x14ac:dyDescent="0.25">
      <c r="A31" s="19">
        <v>42891</v>
      </c>
      <c r="B31">
        <v>1007.23</v>
      </c>
      <c r="C31">
        <v>1013.21</v>
      </c>
      <c r="D31">
        <v>1003.51</v>
      </c>
      <c r="E31">
        <v>1011.34</v>
      </c>
      <c r="F31">
        <v>2676857</v>
      </c>
      <c r="G31">
        <v>0</v>
      </c>
      <c r="H31">
        <v>1</v>
      </c>
      <c r="I31">
        <v>1007.23</v>
      </c>
      <c r="J31">
        <v>1013.21</v>
      </c>
      <c r="K31">
        <v>1003.51</v>
      </c>
      <c r="L31">
        <v>1011.34</v>
      </c>
      <c r="M31">
        <v>2676857</v>
      </c>
    </row>
    <row r="32" spans="1:13" x14ac:dyDescent="0.25">
      <c r="A32" s="19">
        <v>42892</v>
      </c>
      <c r="B32">
        <v>1012</v>
      </c>
      <c r="C32">
        <v>1016.5</v>
      </c>
      <c r="D32">
        <v>1001.25</v>
      </c>
      <c r="E32">
        <v>1002.97</v>
      </c>
      <c r="F32">
        <v>3298378</v>
      </c>
      <c r="G32">
        <v>0</v>
      </c>
      <c r="H32">
        <v>1</v>
      </c>
      <c r="I32">
        <v>1012</v>
      </c>
      <c r="J32">
        <v>1016.5</v>
      </c>
      <c r="K32">
        <v>1001.25</v>
      </c>
      <c r="L32">
        <v>1002.97</v>
      </c>
      <c r="M32">
        <v>3298378</v>
      </c>
    </row>
    <row r="33" spans="1:13" x14ac:dyDescent="0.25">
      <c r="A33" s="19">
        <v>42893</v>
      </c>
      <c r="B33">
        <v>1005.95</v>
      </c>
      <c r="C33">
        <v>1010.25</v>
      </c>
      <c r="D33">
        <v>1002</v>
      </c>
      <c r="E33">
        <v>1010.07</v>
      </c>
      <c r="F33">
        <v>2779551</v>
      </c>
      <c r="G33">
        <v>0</v>
      </c>
      <c r="H33">
        <v>1</v>
      </c>
      <c r="I33">
        <v>1005.95</v>
      </c>
      <c r="J33">
        <v>1010.25</v>
      </c>
      <c r="K33">
        <v>1002</v>
      </c>
      <c r="L33">
        <v>1010.07</v>
      </c>
      <c r="M33">
        <v>2779551</v>
      </c>
    </row>
    <row r="34" spans="1:13" x14ac:dyDescent="0.25">
      <c r="A34" s="19">
        <v>42894</v>
      </c>
      <c r="B34">
        <v>1012.06</v>
      </c>
      <c r="C34">
        <v>1013.61</v>
      </c>
      <c r="D34">
        <v>1006.11</v>
      </c>
      <c r="E34">
        <v>1009.94</v>
      </c>
      <c r="F34">
        <v>2724408</v>
      </c>
      <c r="G34">
        <v>0</v>
      </c>
      <c r="H34">
        <v>1</v>
      </c>
      <c r="I34">
        <v>1012.06</v>
      </c>
      <c r="J34">
        <v>1013.61</v>
      </c>
      <c r="K34">
        <v>1006.11</v>
      </c>
      <c r="L34">
        <v>1009.94</v>
      </c>
      <c r="M34">
        <v>2724408</v>
      </c>
    </row>
    <row r="35" spans="1:13" x14ac:dyDescent="0.25">
      <c r="A35" s="19">
        <v>42895</v>
      </c>
      <c r="B35">
        <v>1012.5</v>
      </c>
      <c r="C35">
        <v>1012.99</v>
      </c>
      <c r="D35">
        <v>927</v>
      </c>
      <c r="E35">
        <v>978.31</v>
      </c>
      <c r="F35">
        <v>7548854</v>
      </c>
      <c r="G35">
        <v>0</v>
      </c>
      <c r="H35">
        <v>1</v>
      </c>
      <c r="I35">
        <v>1012.5</v>
      </c>
      <c r="J35">
        <v>1012.99</v>
      </c>
      <c r="K35">
        <v>927</v>
      </c>
      <c r="L35">
        <v>978.31</v>
      </c>
      <c r="M35">
        <v>7548854</v>
      </c>
    </row>
    <row r="36" spans="1:13" x14ac:dyDescent="0.25">
      <c r="A36" s="19">
        <v>42898</v>
      </c>
      <c r="B36">
        <v>967</v>
      </c>
      <c r="C36">
        <v>975.95</v>
      </c>
      <c r="D36">
        <v>945</v>
      </c>
      <c r="E36">
        <v>964.83</v>
      </c>
      <c r="F36">
        <v>9393802</v>
      </c>
      <c r="G36">
        <v>0</v>
      </c>
      <c r="H36">
        <v>1</v>
      </c>
      <c r="I36">
        <v>967</v>
      </c>
      <c r="J36">
        <v>975.95</v>
      </c>
      <c r="K36">
        <v>945</v>
      </c>
      <c r="L36">
        <v>964.83</v>
      </c>
      <c r="M36">
        <v>9393802</v>
      </c>
    </row>
    <row r="37" spans="1:13" x14ac:dyDescent="0.25">
      <c r="A37" s="19">
        <v>42899</v>
      </c>
      <c r="B37">
        <v>977.99</v>
      </c>
      <c r="C37">
        <v>984.5</v>
      </c>
      <c r="D37">
        <v>966.1</v>
      </c>
      <c r="E37">
        <v>980.79</v>
      </c>
      <c r="F37">
        <v>4533933</v>
      </c>
      <c r="G37">
        <v>0</v>
      </c>
      <c r="H37">
        <v>1</v>
      </c>
      <c r="I37">
        <v>977.99</v>
      </c>
      <c r="J37">
        <v>984.5</v>
      </c>
      <c r="K37">
        <v>966.1</v>
      </c>
      <c r="L37">
        <v>980.79</v>
      </c>
      <c r="M37">
        <v>4533933</v>
      </c>
    </row>
    <row r="38" spans="1:13" x14ac:dyDescent="0.25">
      <c r="A38" s="19">
        <v>42900</v>
      </c>
      <c r="B38">
        <v>988.59</v>
      </c>
      <c r="C38">
        <v>990.34</v>
      </c>
      <c r="D38">
        <v>966.71</v>
      </c>
      <c r="E38">
        <v>976.47</v>
      </c>
      <c r="F38">
        <v>3943670</v>
      </c>
      <c r="G38">
        <v>0</v>
      </c>
      <c r="H38">
        <v>1</v>
      </c>
      <c r="I38">
        <v>988.59</v>
      </c>
      <c r="J38">
        <v>990.34</v>
      </c>
      <c r="K38">
        <v>966.71</v>
      </c>
      <c r="L38">
        <v>976.47</v>
      </c>
      <c r="M38">
        <v>3943670</v>
      </c>
    </row>
    <row r="39" spans="1:13" x14ac:dyDescent="0.25">
      <c r="A39" s="19">
        <v>42901</v>
      </c>
      <c r="B39">
        <v>958.7</v>
      </c>
      <c r="C39">
        <v>965.73</v>
      </c>
      <c r="D39">
        <v>950.86</v>
      </c>
      <c r="E39">
        <v>964.17</v>
      </c>
      <c r="F39">
        <v>5202147</v>
      </c>
      <c r="G39">
        <v>0</v>
      </c>
      <c r="H39">
        <v>1</v>
      </c>
      <c r="I39">
        <v>958.7</v>
      </c>
      <c r="J39">
        <v>965.73</v>
      </c>
      <c r="K39">
        <v>950.86</v>
      </c>
      <c r="L39">
        <v>964.17</v>
      </c>
      <c r="M39">
        <v>5202147</v>
      </c>
    </row>
    <row r="40" spans="1:13" x14ac:dyDescent="0.25">
      <c r="A40" s="19">
        <v>42902</v>
      </c>
      <c r="B40">
        <v>996</v>
      </c>
      <c r="C40">
        <v>999.75</v>
      </c>
      <c r="D40">
        <v>982</v>
      </c>
      <c r="E40">
        <v>987.71</v>
      </c>
      <c r="F40">
        <v>11314754</v>
      </c>
      <c r="G40">
        <v>0</v>
      </c>
      <c r="H40">
        <v>1</v>
      </c>
      <c r="I40">
        <v>996</v>
      </c>
      <c r="J40">
        <v>999.75</v>
      </c>
      <c r="K40">
        <v>982</v>
      </c>
      <c r="L40">
        <v>987.71</v>
      </c>
      <c r="M40">
        <v>11314754</v>
      </c>
    </row>
    <row r="41" spans="1:13" x14ac:dyDescent="0.25">
      <c r="A41" s="19">
        <v>42905</v>
      </c>
      <c r="B41">
        <v>1017</v>
      </c>
      <c r="C41">
        <v>1017</v>
      </c>
      <c r="D41">
        <v>989.9</v>
      </c>
      <c r="E41">
        <v>995.17</v>
      </c>
      <c r="F41">
        <v>4967600</v>
      </c>
      <c r="G41">
        <v>0</v>
      </c>
      <c r="H41">
        <v>1</v>
      </c>
      <c r="I41">
        <v>1017</v>
      </c>
      <c r="J41">
        <v>1017</v>
      </c>
      <c r="K41">
        <v>989.9</v>
      </c>
      <c r="L41">
        <v>995.17</v>
      </c>
      <c r="M41">
        <v>4967600</v>
      </c>
    </row>
    <row r="42" spans="1:13" x14ac:dyDescent="0.25">
      <c r="A42" s="19">
        <v>42906</v>
      </c>
      <c r="B42">
        <v>998</v>
      </c>
      <c r="C42">
        <v>1004.88</v>
      </c>
      <c r="D42">
        <v>992.02</v>
      </c>
      <c r="E42">
        <v>992.59</v>
      </c>
      <c r="F42">
        <v>4040990</v>
      </c>
      <c r="G42">
        <v>0</v>
      </c>
      <c r="H42">
        <v>1</v>
      </c>
      <c r="I42">
        <v>998</v>
      </c>
      <c r="J42">
        <v>1004.88</v>
      </c>
      <c r="K42">
        <v>992.02</v>
      </c>
      <c r="L42">
        <v>992.59</v>
      </c>
      <c r="M42">
        <v>4040990</v>
      </c>
    </row>
    <row r="43" spans="1:13" x14ac:dyDescent="0.25">
      <c r="A43" s="19">
        <v>42907</v>
      </c>
      <c r="B43">
        <v>998.7</v>
      </c>
      <c r="C43">
        <v>1002.72</v>
      </c>
      <c r="D43">
        <v>992.65179999999998</v>
      </c>
      <c r="E43">
        <v>1002.23</v>
      </c>
      <c r="F43">
        <v>2892563</v>
      </c>
      <c r="G43">
        <v>0</v>
      </c>
      <c r="H43">
        <v>1</v>
      </c>
      <c r="I43">
        <v>998.7</v>
      </c>
      <c r="J43">
        <v>1002.72</v>
      </c>
      <c r="K43">
        <v>992.65179999999998</v>
      </c>
      <c r="L43">
        <v>1002.23</v>
      </c>
      <c r="M43">
        <v>2892563</v>
      </c>
    </row>
    <row r="44" spans="1:13" x14ac:dyDescent="0.25">
      <c r="A44" s="19">
        <v>42908</v>
      </c>
      <c r="B44">
        <v>1002.23</v>
      </c>
      <c r="C44">
        <v>1006.96</v>
      </c>
      <c r="D44">
        <v>997.2</v>
      </c>
      <c r="E44">
        <v>1001.3</v>
      </c>
      <c r="F44">
        <v>2221035</v>
      </c>
      <c r="G44">
        <v>0</v>
      </c>
      <c r="H44">
        <v>1</v>
      </c>
      <c r="I44">
        <v>1002.23</v>
      </c>
      <c r="J44">
        <v>1006.96</v>
      </c>
      <c r="K44">
        <v>997.2</v>
      </c>
      <c r="L44">
        <v>1001.3</v>
      </c>
      <c r="M44">
        <v>2221035</v>
      </c>
    </row>
    <row r="45" spans="1:13" x14ac:dyDescent="0.25">
      <c r="A45" s="19">
        <v>42909</v>
      </c>
      <c r="B45">
        <v>1002.54</v>
      </c>
      <c r="C45">
        <v>1004.62</v>
      </c>
      <c r="D45">
        <v>998.02</v>
      </c>
      <c r="E45">
        <v>1003.74</v>
      </c>
      <c r="F45">
        <v>2645973</v>
      </c>
      <c r="G45">
        <v>0</v>
      </c>
      <c r="H45">
        <v>1</v>
      </c>
      <c r="I45">
        <v>1002.54</v>
      </c>
      <c r="J45">
        <v>1004.62</v>
      </c>
      <c r="K45">
        <v>998.02</v>
      </c>
      <c r="L45">
        <v>1003.74</v>
      </c>
      <c r="M45">
        <v>2645973</v>
      </c>
    </row>
    <row r="46" spans="1:13" x14ac:dyDescent="0.25">
      <c r="A46" s="19">
        <v>42912</v>
      </c>
      <c r="B46">
        <v>1008.5</v>
      </c>
      <c r="C46">
        <v>1009.8</v>
      </c>
      <c r="D46">
        <v>992</v>
      </c>
      <c r="E46">
        <v>993.98</v>
      </c>
      <c r="F46">
        <v>3347195</v>
      </c>
      <c r="G46">
        <v>0</v>
      </c>
      <c r="H46">
        <v>1</v>
      </c>
      <c r="I46">
        <v>1008.5</v>
      </c>
      <c r="J46">
        <v>1009.8</v>
      </c>
      <c r="K46">
        <v>992</v>
      </c>
      <c r="L46">
        <v>993.98</v>
      </c>
      <c r="M46">
        <v>3347195</v>
      </c>
    </row>
    <row r="47" spans="1:13" x14ac:dyDescent="0.25">
      <c r="A47" s="19">
        <v>42913</v>
      </c>
      <c r="B47">
        <v>990.69</v>
      </c>
      <c r="C47">
        <v>998.8</v>
      </c>
      <c r="D47">
        <v>976</v>
      </c>
      <c r="E47">
        <v>976.78</v>
      </c>
      <c r="F47">
        <v>3735360</v>
      </c>
      <c r="G47">
        <v>0</v>
      </c>
      <c r="H47">
        <v>1</v>
      </c>
      <c r="I47">
        <v>990.69</v>
      </c>
      <c r="J47">
        <v>998.8</v>
      </c>
      <c r="K47">
        <v>976</v>
      </c>
      <c r="L47">
        <v>976.78</v>
      </c>
      <c r="M47">
        <v>3735360</v>
      </c>
    </row>
    <row r="48" spans="1:13" x14ac:dyDescent="0.25">
      <c r="A48" s="19">
        <v>42914</v>
      </c>
      <c r="B48">
        <v>978.55</v>
      </c>
      <c r="C48">
        <v>990.68</v>
      </c>
      <c r="D48">
        <v>969.21</v>
      </c>
      <c r="E48">
        <v>990.33</v>
      </c>
      <c r="F48">
        <v>3708638</v>
      </c>
      <c r="G48">
        <v>0</v>
      </c>
      <c r="H48">
        <v>1</v>
      </c>
      <c r="I48">
        <v>978.55</v>
      </c>
      <c r="J48">
        <v>990.68</v>
      </c>
      <c r="K48">
        <v>969.21</v>
      </c>
      <c r="L48">
        <v>990.33</v>
      </c>
      <c r="M48">
        <v>3708638</v>
      </c>
    </row>
    <row r="49" spans="1:13" x14ac:dyDescent="0.25">
      <c r="A49" s="19">
        <v>42915</v>
      </c>
      <c r="B49">
        <v>979</v>
      </c>
      <c r="C49">
        <v>987.56</v>
      </c>
      <c r="D49">
        <v>965.25</v>
      </c>
      <c r="E49">
        <v>975.93</v>
      </c>
      <c r="F49">
        <v>4246765</v>
      </c>
      <c r="G49">
        <v>0</v>
      </c>
      <c r="H49">
        <v>1</v>
      </c>
      <c r="I49">
        <v>979</v>
      </c>
      <c r="J49">
        <v>987.56</v>
      </c>
      <c r="K49">
        <v>965.25</v>
      </c>
      <c r="L49">
        <v>975.93</v>
      </c>
      <c r="M49">
        <v>4246765</v>
      </c>
    </row>
    <row r="50" spans="1:13" x14ac:dyDescent="0.25">
      <c r="A50" s="19">
        <v>42916</v>
      </c>
      <c r="B50">
        <v>980.12</v>
      </c>
      <c r="C50">
        <v>983.47</v>
      </c>
      <c r="D50">
        <v>967.61</v>
      </c>
      <c r="E50">
        <v>968</v>
      </c>
      <c r="F50">
        <v>3309138</v>
      </c>
      <c r="G50">
        <v>0</v>
      </c>
      <c r="H50">
        <v>1</v>
      </c>
      <c r="I50">
        <v>980.12</v>
      </c>
      <c r="J50">
        <v>983.47</v>
      </c>
      <c r="K50">
        <v>967.61</v>
      </c>
      <c r="L50">
        <v>968</v>
      </c>
      <c r="M50">
        <v>3309138</v>
      </c>
    </row>
    <row r="51" spans="1:13" x14ac:dyDescent="0.25">
      <c r="A51" s="19">
        <v>42919</v>
      </c>
      <c r="B51">
        <v>972.79</v>
      </c>
      <c r="C51">
        <v>974.49</v>
      </c>
      <c r="D51">
        <v>951.00009999999997</v>
      </c>
      <c r="E51">
        <v>953.66</v>
      </c>
      <c r="F51">
        <v>2908267</v>
      </c>
      <c r="G51">
        <v>0</v>
      </c>
      <c r="H51">
        <v>1</v>
      </c>
      <c r="I51">
        <v>972.79</v>
      </c>
      <c r="J51">
        <v>974.49</v>
      </c>
      <c r="K51">
        <v>951.00009999999997</v>
      </c>
      <c r="L51">
        <v>953.66</v>
      </c>
      <c r="M51">
        <v>2908267</v>
      </c>
    </row>
    <row r="52" spans="1:13" x14ac:dyDescent="0.25">
      <c r="A52" s="19">
        <v>42921</v>
      </c>
      <c r="B52">
        <v>961.53</v>
      </c>
      <c r="C52">
        <v>975</v>
      </c>
      <c r="D52">
        <v>955.25</v>
      </c>
      <c r="E52">
        <v>971.4</v>
      </c>
      <c r="F52">
        <v>3587645</v>
      </c>
      <c r="G52">
        <v>0</v>
      </c>
      <c r="H52">
        <v>1</v>
      </c>
      <c r="I52">
        <v>961.53</v>
      </c>
      <c r="J52">
        <v>975</v>
      </c>
      <c r="K52">
        <v>955.25</v>
      </c>
      <c r="L52">
        <v>971.4</v>
      </c>
      <c r="M52">
        <v>3587645</v>
      </c>
    </row>
    <row r="53" spans="1:13" x14ac:dyDescent="0.25">
      <c r="A53" s="19">
        <v>42922</v>
      </c>
      <c r="B53">
        <v>964.66</v>
      </c>
      <c r="C53">
        <v>974.4</v>
      </c>
      <c r="D53">
        <v>959.02</v>
      </c>
      <c r="E53">
        <v>965.14</v>
      </c>
      <c r="F53">
        <v>3229378</v>
      </c>
      <c r="G53">
        <v>0</v>
      </c>
      <c r="H53">
        <v>1</v>
      </c>
      <c r="I53">
        <v>964.66</v>
      </c>
      <c r="J53">
        <v>974.4</v>
      </c>
      <c r="K53">
        <v>959.02</v>
      </c>
      <c r="L53">
        <v>965.14</v>
      </c>
      <c r="M53">
        <v>3229378</v>
      </c>
    </row>
    <row r="54" spans="1:13" x14ac:dyDescent="0.25">
      <c r="A54" s="19">
        <v>42923</v>
      </c>
      <c r="B54">
        <v>969.55</v>
      </c>
      <c r="C54">
        <v>980.11</v>
      </c>
      <c r="D54">
        <v>969.14</v>
      </c>
      <c r="E54">
        <v>978.76</v>
      </c>
      <c r="F54">
        <v>2582645</v>
      </c>
      <c r="G54">
        <v>0</v>
      </c>
      <c r="H54">
        <v>1</v>
      </c>
      <c r="I54">
        <v>969.55</v>
      </c>
      <c r="J54">
        <v>980.11</v>
      </c>
      <c r="K54">
        <v>969.14</v>
      </c>
      <c r="L54">
        <v>978.76</v>
      </c>
      <c r="M54">
        <v>2582645</v>
      </c>
    </row>
    <row r="55" spans="1:13" x14ac:dyDescent="0.25">
      <c r="A55" s="19">
        <v>42926</v>
      </c>
      <c r="B55">
        <v>985</v>
      </c>
      <c r="C55">
        <v>999.43920000000003</v>
      </c>
      <c r="D55">
        <v>983.5</v>
      </c>
      <c r="E55">
        <v>996.47</v>
      </c>
      <c r="F55">
        <v>3462884</v>
      </c>
      <c r="G55">
        <v>0</v>
      </c>
      <c r="H55">
        <v>1</v>
      </c>
      <c r="I55">
        <v>985</v>
      </c>
      <c r="J55">
        <v>999.43920000000003</v>
      </c>
      <c r="K55">
        <v>983.5</v>
      </c>
      <c r="L55">
        <v>996.47</v>
      </c>
      <c r="M55">
        <v>3462884</v>
      </c>
    </row>
    <row r="56" spans="1:13" x14ac:dyDescent="0.25">
      <c r="A56" s="19">
        <v>42927</v>
      </c>
      <c r="B56">
        <v>993</v>
      </c>
      <c r="C56">
        <v>995.99</v>
      </c>
      <c r="D56">
        <v>983.72</v>
      </c>
      <c r="E56">
        <v>994.13</v>
      </c>
      <c r="F56">
        <v>2947479</v>
      </c>
      <c r="G56">
        <v>0</v>
      </c>
      <c r="H56">
        <v>1</v>
      </c>
      <c r="I56">
        <v>993</v>
      </c>
      <c r="J56">
        <v>995.99</v>
      </c>
      <c r="K56">
        <v>983.72</v>
      </c>
      <c r="L56">
        <v>994.13</v>
      </c>
      <c r="M56">
        <v>2947479</v>
      </c>
    </row>
    <row r="57" spans="1:13" x14ac:dyDescent="0.25">
      <c r="A57" s="19">
        <v>42928</v>
      </c>
      <c r="B57">
        <v>1000.65</v>
      </c>
      <c r="C57">
        <v>1008.55</v>
      </c>
      <c r="D57">
        <v>998.1</v>
      </c>
      <c r="E57">
        <v>1006.51</v>
      </c>
      <c r="F57">
        <v>3491988</v>
      </c>
      <c r="G57">
        <v>0</v>
      </c>
      <c r="H57">
        <v>1</v>
      </c>
      <c r="I57">
        <v>1000.65</v>
      </c>
      <c r="J57">
        <v>1008.55</v>
      </c>
      <c r="K57">
        <v>998.1</v>
      </c>
      <c r="L57">
        <v>1006.51</v>
      </c>
      <c r="M57">
        <v>3491988</v>
      </c>
    </row>
    <row r="58" spans="1:13" x14ac:dyDescent="0.25">
      <c r="A58" s="19">
        <v>42929</v>
      </c>
      <c r="B58">
        <v>1004.62</v>
      </c>
      <c r="C58">
        <v>1006.88</v>
      </c>
      <c r="D58">
        <v>995.9</v>
      </c>
      <c r="E58">
        <v>999.85500000000002</v>
      </c>
      <c r="F58">
        <v>2864533</v>
      </c>
      <c r="G58">
        <v>0</v>
      </c>
      <c r="H58">
        <v>1</v>
      </c>
      <c r="I58">
        <v>1004.62</v>
      </c>
      <c r="J58">
        <v>1006.88</v>
      </c>
      <c r="K58">
        <v>995.9</v>
      </c>
      <c r="L58">
        <v>999.85500000000002</v>
      </c>
      <c r="M58">
        <v>2864533</v>
      </c>
    </row>
    <row r="59" spans="1:13" x14ac:dyDescent="0.25">
      <c r="A59" s="19">
        <v>42930</v>
      </c>
      <c r="B59">
        <v>1002.4</v>
      </c>
      <c r="C59">
        <v>1004.45</v>
      </c>
      <c r="D59">
        <v>996.89</v>
      </c>
      <c r="E59">
        <v>1001.81</v>
      </c>
      <c r="F59">
        <v>2066362</v>
      </c>
      <c r="G59">
        <v>0</v>
      </c>
      <c r="H59">
        <v>1</v>
      </c>
      <c r="I59">
        <v>1002.4</v>
      </c>
      <c r="J59">
        <v>1004.45</v>
      </c>
      <c r="K59">
        <v>996.89</v>
      </c>
      <c r="L59">
        <v>1001.81</v>
      </c>
      <c r="M59">
        <v>2066362</v>
      </c>
    </row>
    <row r="60" spans="1:13" x14ac:dyDescent="0.25">
      <c r="A60" s="19">
        <v>42933</v>
      </c>
      <c r="B60">
        <v>1004.69</v>
      </c>
      <c r="C60">
        <v>1014.75</v>
      </c>
      <c r="D60">
        <v>1003.81</v>
      </c>
      <c r="E60">
        <v>1010.04</v>
      </c>
      <c r="F60">
        <v>3636801</v>
      </c>
      <c r="G60">
        <v>0</v>
      </c>
      <c r="H60">
        <v>1</v>
      </c>
      <c r="I60">
        <v>1004.69</v>
      </c>
      <c r="J60">
        <v>1014.75</v>
      </c>
      <c r="K60">
        <v>1003.81</v>
      </c>
      <c r="L60">
        <v>1010.04</v>
      </c>
      <c r="M60">
        <v>3636801</v>
      </c>
    </row>
    <row r="61" spans="1:13" x14ac:dyDescent="0.25">
      <c r="A61" s="19">
        <v>42934</v>
      </c>
      <c r="B61">
        <v>1006</v>
      </c>
      <c r="C61">
        <v>1026.03</v>
      </c>
      <c r="D61">
        <v>1004</v>
      </c>
      <c r="E61">
        <v>1024.3800000000001</v>
      </c>
      <c r="F61">
        <v>3957892</v>
      </c>
      <c r="G61">
        <v>0</v>
      </c>
      <c r="H61">
        <v>1</v>
      </c>
      <c r="I61">
        <v>1006</v>
      </c>
      <c r="J61">
        <v>1026.03</v>
      </c>
      <c r="K61">
        <v>1004</v>
      </c>
      <c r="L61">
        <v>1024.3800000000001</v>
      </c>
      <c r="M61">
        <v>3957892</v>
      </c>
    </row>
    <row r="62" spans="1:13" x14ac:dyDescent="0.25">
      <c r="A62" s="19">
        <v>42935</v>
      </c>
      <c r="B62">
        <v>1025</v>
      </c>
      <c r="C62">
        <v>1031.5899999999999</v>
      </c>
      <c r="D62">
        <v>1022.5</v>
      </c>
      <c r="E62">
        <v>1026.8699999999999</v>
      </c>
      <c r="F62">
        <v>2936902</v>
      </c>
      <c r="G62">
        <v>0</v>
      </c>
      <c r="H62">
        <v>1</v>
      </c>
      <c r="I62">
        <v>1025</v>
      </c>
      <c r="J62">
        <v>1031.5899999999999</v>
      </c>
      <c r="K62">
        <v>1022.5</v>
      </c>
      <c r="L62">
        <v>1026.8699999999999</v>
      </c>
      <c r="M62">
        <v>2936902</v>
      </c>
    </row>
    <row r="63" spans="1:13" x14ac:dyDescent="0.25">
      <c r="A63" s="19">
        <v>42936</v>
      </c>
      <c r="B63">
        <v>1031.5899999999999</v>
      </c>
      <c r="C63">
        <v>1034.97</v>
      </c>
      <c r="D63">
        <v>1022.52</v>
      </c>
      <c r="E63">
        <v>1028.7</v>
      </c>
      <c r="F63">
        <v>2964341</v>
      </c>
      <c r="G63">
        <v>0</v>
      </c>
      <c r="H63">
        <v>1</v>
      </c>
      <c r="I63">
        <v>1031.5899999999999</v>
      </c>
      <c r="J63">
        <v>1034.97</v>
      </c>
      <c r="K63">
        <v>1022.52</v>
      </c>
      <c r="L63">
        <v>1028.7</v>
      </c>
      <c r="M63">
        <v>2964341</v>
      </c>
    </row>
    <row r="64" spans="1:13" x14ac:dyDescent="0.25">
      <c r="A64" s="19">
        <v>42937</v>
      </c>
      <c r="B64">
        <v>1021.28</v>
      </c>
      <c r="C64">
        <v>1026.0999999999999</v>
      </c>
      <c r="D64">
        <v>1011</v>
      </c>
      <c r="E64">
        <v>1025.67</v>
      </c>
      <c r="F64">
        <v>2677517</v>
      </c>
      <c r="G64">
        <v>0</v>
      </c>
      <c r="H64">
        <v>1</v>
      </c>
      <c r="I64">
        <v>1021.28</v>
      </c>
      <c r="J64">
        <v>1026.0999999999999</v>
      </c>
      <c r="K64">
        <v>1011</v>
      </c>
      <c r="L64">
        <v>1025.67</v>
      </c>
      <c r="M64">
        <v>2677517</v>
      </c>
    </row>
    <row r="65" spans="1:13" x14ac:dyDescent="0.25">
      <c r="A65" s="19">
        <v>42940</v>
      </c>
      <c r="B65">
        <v>1028.3399999999999</v>
      </c>
      <c r="C65">
        <v>1043.01</v>
      </c>
      <c r="D65">
        <v>1027.43</v>
      </c>
      <c r="E65">
        <v>1038.95</v>
      </c>
      <c r="F65">
        <v>3212499</v>
      </c>
      <c r="G65">
        <v>0</v>
      </c>
      <c r="H65">
        <v>1</v>
      </c>
      <c r="I65">
        <v>1028.3399999999999</v>
      </c>
      <c r="J65">
        <v>1043.01</v>
      </c>
      <c r="K65">
        <v>1027.43</v>
      </c>
      <c r="L65">
        <v>1038.95</v>
      </c>
      <c r="M65">
        <v>3212499</v>
      </c>
    </row>
    <row r="66" spans="1:13" x14ac:dyDescent="0.25">
      <c r="A66" s="19">
        <v>42941</v>
      </c>
      <c r="B66">
        <v>1038.05</v>
      </c>
      <c r="C66">
        <v>1043.33</v>
      </c>
      <c r="D66">
        <v>1032.48</v>
      </c>
      <c r="E66">
        <v>1039.8699999999999</v>
      </c>
      <c r="F66">
        <v>2432328</v>
      </c>
      <c r="G66">
        <v>0</v>
      </c>
      <c r="H66">
        <v>1</v>
      </c>
      <c r="I66">
        <v>1038.05</v>
      </c>
      <c r="J66">
        <v>1043.33</v>
      </c>
      <c r="K66">
        <v>1032.48</v>
      </c>
      <c r="L66">
        <v>1039.8699999999999</v>
      </c>
      <c r="M66">
        <v>2432328</v>
      </c>
    </row>
    <row r="67" spans="1:13" x14ac:dyDescent="0.25">
      <c r="A67" s="19">
        <v>42942</v>
      </c>
      <c r="B67">
        <v>1043.2</v>
      </c>
      <c r="C67">
        <v>1053.2</v>
      </c>
      <c r="D67">
        <v>1043.2</v>
      </c>
      <c r="E67">
        <v>1052.8</v>
      </c>
      <c r="F67">
        <v>2828980</v>
      </c>
      <c r="G67">
        <v>0</v>
      </c>
      <c r="H67">
        <v>1</v>
      </c>
      <c r="I67">
        <v>1043.2</v>
      </c>
      <c r="J67">
        <v>1053.2</v>
      </c>
      <c r="K67">
        <v>1043.2</v>
      </c>
      <c r="L67">
        <v>1052.8</v>
      </c>
      <c r="M67">
        <v>2828980</v>
      </c>
    </row>
    <row r="68" spans="1:13" x14ac:dyDescent="0.25">
      <c r="A68" s="19">
        <v>42943</v>
      </c>
      <c r="B68">
        <v>1069.55</v>
      </c>
      <c r="C68">
        <v>1083.31</v>
      </c>
      <c r="D68">
        <v>1040.18</v>
      </c>
      <c r="E68">
        <v>1046</v>
      </c>
      <c r="F68">
        <v>9905158</v>
      </c>
      <c r="G68">
        <v>0</v>
      </c>
      <c r="H68">
        <v>1</v>
      </c>
      <c r="I68">
        <v>1069.55</v>
      </c>
      <c r="J68">
        <v>1083.31</v>
      </c>
      <c r="K68">
        <v>1040.18</v>
      </c>
      <c r="L68">
        <v>1046</v>
      </c>
      <c r="M68">
        <v>9905158</v>
      </c>
    </row>
    <row r="69" spans="1:13" x14ac:dyDescent="0.25">
      <c r="A69" s="19">
        <v>42944</v>
      </c>
      <c r="B69">
        <v>1012.14</v>
      </c>
      <c r="C69">
        <v>1032.8499999999999</v>
      </c>
      <c r="D69">
        <v>1001</v>
      </c>
      <c r="E69">
        <v>1020.04</v>
      </c>
      <c r="F69">
        <v>7624498</v>
      </c>
      <c r="G69">
        <v>0</v>
      </c>
      <c r="H69">
        <v>1</v>
      </c>
      <c r="I69">
        <v>1012.14</v>
      </c>
      <c r="J69">
        <v>1032.8499999999999</v>
      </c>
      <c r="K69">
        <v>1001</v>
      </c>
      <c r="L69">
        <v>1020.04</v>
      </c>
      <c r="M69">
        <v>7624498</v>
      </c>
    </row>
    <row r="70" spans="1:13" x14ac:dyDescent="0.25">
      <c r="A70" s="19">
        <v>42947</v>
      </c>
      <c r="B70">
        <v>1019.05</v>
      </c>
      <c r="C70">
        <v>1019.05</v>
      </c>
      <c r="D70">
        <v>987.02</v>
      </c>
      <c r="E70">
        <v>987.78</v>
      </c>
      <c r="F70">
        <v>7246638</v>
      </c>
      <c r="G70">
        <v>0</v>
      </c>
      <c r="H70">
        <v>1</v>
      </c>
      <c r="I70">
        <v>1019.05</v>
      </c>
      <c r="J70">
        <v>1019.05</v>
      </c>
      <c r="K70">
        <v>987.02</v>
      </c>
      <c r="L70">
        <v>987.78</v>
      </c>
      <c r="M70">
        <v>7246638</v>
      </c>
    </row>
    <row r="71" spans="1:13" x14ac:dyDescent="0.25">
      <c r="A71" s="19">
        <v>42948</v>
      </c>
      <c r="B71">
        <v>996.11</v>
      </c>
      <c r="C71">
        <v>1006.4</v>
      </c>
      <c r="D71">
        <v>991.58</v>
      </c>
      <c r="E71">
        <v>996.19</v>
      </c>
      <c r="F71">
        <v>4421395</v>
      </c>
      <c r="G71">
        <v>0</v>
      </c>
      <c r="H71">
        <v>1</v>
      </c>
      <c r="I71">
        <v>996.11</v>
      </c>
      <c r="J71">
        <v>1006.4</v>
      </c>
      <c r="K71">
        <v>991.58</v>
      </c>
      <c r="L71">
        <v>996.19</v>
      </c>
      <c r="M71">
        <v>4421395</v>
      </c>
    </row>
    <row r="72" spans="1:13" x14ac:dyDescent="0.25">
      <c r="A72" s="19">
        <v>42949</v>
      </c>
      <c r="B72">
        <v>1001.77</v>
      </c>
      <c r="C72">
        <v>1003.21</v>
      </c>
      <c r="D72">
        <v>981.73</v>
      </c>
      <c r="E72">
        <v>995.89</v>
      </c>
      <c r="F72">
        <v>4017780</v>
      </c>
      <c r="G72">
        <v>0</v>
      </c>
      <c r="H72">
        <v>1</v>
      </c>
      <c r="I72">
        <v>1001.77</v>
      </c>
      <c r="J72">
        <v>1003.21</v>
      </c>
      <c r="K72">
        <v>981.73</v>
      </c>
      <c r="L72">
        <v>995.89</v>
      </c>
      <c r="M72">
        <v>4017780</v>
      </c>
    </row>
    <row r="73" spans="1:13" x14ac:dyDescent="0.25">
      <c r="A73" s="19">
        <v>42950</v>
      </c>
      <c r="B73">
        <v>999.47</v>
      </c>
      <c r="C73">
        <v>999.5</v>
      </c>
      <c r="D73">
        <v>984.59</v>
      </c>
      <c r="E73">
        <v>986.92</v>
      </c>
      <c r="F73">
        <v>3203134</v>
      </c>
      <c r="G73">
        <v>0</v>
      </c>
      <c r="H73">
        <v>1</v>
      </c>
      <c r="I73">
        <v>999.47</v>
      </c>
      <c r="J73">
        <v>999.5</v>
      </c>
      <c r="K73">
        <v>984.59</v>
      </c>
      <c r="L73">
        <v>986.92</v>
      </c>
      <c r="M73">
        <v>3203134</v>
      </c>
    </row>
    <row r="74" spans="1:13" x14ac:dyDescent="0.25">
      <c r="A74" s="19">
        <v>42951</v>
      </c>
      <c r="B74">
        <v>989.68</v>
      </c>
      <c r="C74">
        <v>991.67200000000003</v>
      </c>
      <c r="D74">
        <v>982</v>
      </c>
      <c r="E74">
        <v>987.58</v>
      </c>
      <c r="F74">
        <v>2704026</v>
      </c>
      <c r="G74">
        <v>0</v>
      </c>
      <c r="H74">
        <v>1</v>
      </c>
      <c r="I74">
        <v>989.68</v>
      </c>
      <c r="J74">
        <v>991.67200000000003</v>
      </c>
      <c r="K74">
        <v>982</v>
      </c>
      <c r="L74">
        <v>987.58</v>
      </c>
      <c r="M74">
        <v>2704026</v>
      </c>
    </row>
    <row r="75" spans="1:13" x14ac:dyDescent="0.25">
      <c r="A75" s="19">
        <v>42955</v>
      </c>
      <c r="B75">
        <v>994.35</v>
      </c>
      <c r="C75">
        <v>996.28</v>
      </c>
      <c r="D75">
        <v>985.79</v>
      </c>
      <c r="E75">
        <v>989.84</v>
      </c>
      <c r="F75">
        <v>2847527</v>
      </c>
      <c r="G75">
        <v>0</v>
      </c>
      <c r="H75">
        <v>1</v>
      </c>
      <c r="I75">
        <v>994.35</v>
      </c>
      <c r="J75">
        <v>996.28</v>
      </c>
      <c r="K75">
        <v>985.79</v>
      </c>
      <c r="L75">
        <v>989.84</v>
      </c>
      <c r="M75">
        <v>2847527</v>
      </c>
    </row>
    <row r="76" spans="1:13" x14ac:dyDescent="0.25">
      <c r="A76" s="19">
        <v>42956</v>
      </c>
      <c r="B76">
        <v>982.6</v>
      </c>
      <c r="C76">
        <v>988</v>
      </c>
      <c r="D76">
        <v>975.27</v>
      </c>
      <c r="E76">
        <v>982.01</v>
      </c>
      <c r="F76">
        <v>3434077</v>
      </c>
      <c r="G76">
        <v>0</v>
      </c>
      <c r="H76">
        <v>1</v>
      </c>
      <c r="I76">
        <v>982.6</v>
      </c>
      <c r="J76">
        <v>988</v>
      </c>
      <c r="K76">
        <v>975.27</v>
      </c>
      <c r="L76">
        <v>982.01</v>
      </c>
      <c r="M76">
        <v>3434077</v>
      </c>
    </row>
    <row r="77" spans="1:13" x14ac:dyDescent="0.25">
      <c r="A77" s="19">
        <v>42957</v>
      </c>
      <c r="B77">
        <v>976.29499999999996</v>
      </c>
      <c r="C77">
        <v>979.86</v>
      </c>
      <c r="D77">
        <v>954.68</v>
      </c>
      <c r="E77">
        <v>956.92</v>
      </c>
      <c r="F77">
        <v>5560388</v>
      </c>
      <c r="G77">
        <v>0</v>
      </c>
      <c r="H77">
        <v>1</v>
      </c>
      <c r="I77">
        <v>976.29499999999996</v>
      </c>
      <c r="J77">
        <v>979.86</v>
      </c>
      <c r="K77">
        <v>954.68</v>
      </c>
      <c r="L77">
        <v>956.92</v>
      </c>
      <c r="M77">
        <v>5560388</v>
      </c>
    </row>
    <row r="78" spans="1:13" x14ac:dyDescent="0.25">
      <c r="A78" s="19">
        <v>42958</v>
      </c>
      <c r="B78">
        <v>960</v>
      </c>
      <c r="C78">
        <v>970.39</v>
      </c>
      <c r="D78">
        <v>951.38</v>
      </c>
      <c r="E78">
        <v>967.99</v>
      </c>
      <c r="F78">
        <v>3431423</v>
      </c>
      <c r="G78">
        <v>0</v>
      </c>
      <c r="H78">
        <v>1</v>
      </c>
      <c r="I78">
        <v>960</v>
      </c>
      <c r="J78">
        <v>970.39</v>
      </c>
      <c r="K78">
        <v>951.38</v>
      </c>
      <c r="L78">
        <v>967.99</v>
      </c>
      <c r="M78">
        <v>3431423</v>
      </c>
    </row>
    <row r="79" spans="1:13" x14ac:dyDescent="0.25">
      <c r="A79" s="19">
        <v>42961</v>
      </c>
      <c r="B79">
        <v>978.41</v>
      </c>
      <c r="C79">
        <v>985.5</v>
      </c>
      <c r="D79">
        <v>976.19</v>
      </c>
      <c r="E79">
        <v>983.3</v>
      </c>
      <c r="F79">
        <v>3008007</v>
      </c>
      <c r="G79">
        <v>0</v>
      </c>
      <c r="H79">
        <v>1</v>
      </c>
      <c r="I79">
        <v>978.41</v>
      </c>
      <c r="J79">
        <v>985.5</v>
      </c>
      <c r="K79">
        <v>976.19</v>
      </c>
      <c r="L79">
        <v>983.3</v>
      </c>
      <c r="M79">
        <v>3008007</v>
      </c>
    </row>
    <row r="80" spans="1:13" x14ac:dyDescent="0.25">
      <c r="A80" s="19">
        <v>42962</v>
      </c>
      <c r="B80">
        <v>988.9</v>
      </c>
      <c r="C80">
        <v>991.74</v>
      </c>
      <c r="D80">
        <v>982</v>
      </c>
      <c r="E80">
        <v>982.74</v>
      </c>
      <c r="F80">
        <v>2513139</v>
      </c>
      <c r="G80">
        <v>0</v>
      </c>
      <c r="H80">
        <v>1</v>
      </c>
      <c r="I80">
        <v>988.9</v>
      </c>
      <c r="J80">
        <v>991.74</v>
      </c>
      <c r="K80">
        <v>982</v>
      </c>
      <c r="L80">
        <v>982.74</v>
      </c>
      <c r="M80">
        <v>2513139</v>
      </c>
    </row>
    <row r="81" spans="1:13" x14ac:dyDescent="0.25">
      <c r="A81" s="19">
        <v>42963</v>
      </c>
      <c r="B81">
        <v>981.65</v>
      </c>
      <c r="C81">
        <v>986.46050000000002</v>
      </c>
      <c r="D81">
        <v>973.22</v>
      </c>
      <c r="E81">
        <v>978.18</v>
      </c>
      <c r="F81">
        <v>3096051</v>
      </c>
      <c r="G81">
        <v>0</v>
      </c>
      <c r="H81">
        <v>1</v>
      </c>
      <c r="I81">
        <v>981.65</v>
      </c>
      <c r="J81">
        <v>986.46050000000002</v>
      </c>
      <c r="K81">
        <v>973.22</v>
      </c>
      <c r="L81">
        <v>978.18</v>
      </c>
      <c r="M81">
        <v>3096051</v>
      </c>
    </row>
    <row r="82" spans="1:13" x14ac:dyDescent="0.25">
      <c r="A82" s="19">
        <v>42964</v>
      </c>
      <c r="B82">
        <v>977.84</v>
      </c>
      <c r="C82">
        <v>977.84</v>
      </c>
      <c r="D82">
        <v>960.32</v>
      </c>
      <c r="E82">
        <v>960.57</v>
      </c>
      <c r="F82">
        <v>3396045</v>
      </c>
      <c r="G82">
        <v>0</v>
      </c>
      <c r="H82">
        <v>1</v>
      </c>
      <c r="I82">
        <v>977.84</v>
      </c>
      <c r="J82">
        <v>977.84</v>
      </c>
      <c r="K82">
        <v>960.32</v>
      </c>
      <c r="L82">
        <v>960.57</v>
      </c>
      <c r="M82">
        <v>3396045</v>
      </c>
    </row>
    <row r="83" spans="1:13" x14ac:dyDescent="0.25">
      <c r="A83" s="19">
        <v>42965</v>
      </c>
      <c r="B83">
        <v>961.4</v>
      </c>
      <c r="C83">
        <v>965.43</v>
      </c>
      <c r="D83">
        <v>954.65</v>
      </c>
      <c r="E83">
        <v>958.47</v>
      </c>
      <c r="F83">
        <v>3248677</v>
      </c>
      <c r="G83">
        <v>0</v>
      </c>
      <c r="H83">
        <v>1</v>
      </c>
      <c r="I83">
        <v>961.4</v>
      </c>
      <c r="J83">
        <v>965.43</v>
      </c>
      <c r="K83">
        <v>954.65</v>
      </c>
      <c r="L83">
        <v>958.47</v>
      </c>
      <c r="M83">
        <v>3248677</v>
      </c>
    </row>
    <row r="84" spans="1:13" x14ac:dyDescent="0.25">
      <c r="A84" s="19">
        <v>42968</v>
      </c>
      <c r="B84">
        <v>957.57</v>
      </c>
      <c r="C84">
        <v>961.2</v>
      </c>
      <c r="D84">
        <v>945.46</v>
      </c>
      <c r="E84">
        <v>953.29</v>
      </c>
      <c r="F84">
        <v>3008450</v>
      </c>
      <c r="G84">
        <v>0</v>
      </c>
      <c r="H84">
        <v>1</v>
      </c>
      <c r="I84">
        <v>957.57</v>
      </c>
      <c r="J84">
        <v>961.2</v>
      </c>
      <c r="K84">
        <v>945.46</v>
      </c>
      <c r="L84">
        <v>953.29</v>
      </c>
      <c r="M84">
        <v>3008450</v>
      </c>
    </row>
    <row r="85" spans="1:13" x14ac:dyDescent="0.25">
      <c r="A85" s="19">
        <v>42969</v>
      </c>
      <c r="B85">
        <v>955.52</v>
      </c>
      <c r="C85">
        <v>967.93</v>
      </c>
      <c r="D85">
        <v>955.495</v>
      </c>
      <c r="E85">
        <v>966.9</v>
      </c>
      <c r="F85">
        <v>2718261</v>
      </c>
      <c r="G85">
        <v>0</v>
      </c>
      <c r="H85">
        <v>1</v>
      </c>
      <c r="I85">
        <v>955.52</v>
      </c>
      <c r="J85">
        <v>967.93</v>
      </c>
      <c r="K85">
        <v>955.495</v>
      </c>
      <c r="L85">
        <v>966.9</v>
      </c>
      <c r="M85">
        <v>2718261</v>
      </c>
    </row>
    <row r="86" spans="1:13" x14ac:dyDescent="0.25">
      <c r="A86" s="19">
        <v>42970</v>
      </c>
      <c r="B86">
        <v>959.38</v>
      </c>
      <c r="C86">
        <v>962</v>
      </c>
      <c r="D86">
        <v>954.2</v>
      </c>
      <c r="E86">
        <v>958</v>
      </c>
      <c r="F86">
        <v>2590245</v>
      </c>
      <c r="G86">
        <v>0</v>
      </c>
      <c r="H86">
        <v>1</v>
      </c>
      <c r="I86">
        <v>959.38</v>
      </c>
      <c r="J86">
        <v>962</v>
      </c>
      <c r="K86">
        <v>954.2</v>
      </c>
      <c r="L86">
        <v>958</v>
      </c>
      <c r="M86">
        <v>2590245</v>
      </c>
    </row>
    <row r="87" spans="1:13" x14ac:dyDescent="0.25">
      <c r="A87" s="19">
        <v>42971</v>
      </c>
      <c r="B87">
        <v>957.42</v>
      </c>
      <c r="C87">
        <v>959</v>
      </c>
      <c r="D87">
        <v>941.14</v>
      </c>
      <c r="E87">
        <v>952.45</v>
      </c>
      <c r="F87">
        <v>5086748</v>
      </c>
      <c r="G87">
        <v>0</v>
      </c>
      <c r="H87">
        <v>1</v>
      </c>
      <c r="I87">
        <v>957.42</v>
      </c>
      <c r="J87">
        <v>959</v>
      </c>
      <c r="K87">
        <v>941.14</v>
      </c>
      <c r="L87">
        <v>952.45</v>
      </c>
      <c r="M87">
        <v>5086748</v>
      </c>
    </row>
    <row r="88" spans="1:13" x14ac:dyDescent="0.25">
      <c r="A88" s="19">
        <v>42972</v>
      </c>
      <c r="B88">
        <v>956</v>
      </c>
      <c r="C88">
        <v>957.62099999999998</v>
      </c>
      <c r="D88">
        <v>944.1</v>
      </c>
      <c r="E88">
        <v>945.26</v>
      </c>
      <c r="F88">
        <v>3292776</v>
      </c>
      <c r="G88">
        <v>0</v>
      </c>
      <c r="H88">
        <v>1</v>
      </c>
      <c r="I88">
        <v>956</v>
      </c>
      <c r="J88">
        <v>957.62099999999998</v>
      </c>
      <c r="K88">
        <v>944.1</v>
      </c>
      <c r="L88">
        <v>945.26</v>
      </c>
      <c r="M88">
        <v>3292776</v>
      </c>
    </row>
    <row r="89" spans="1:13" x14ac:dyDescent="0.25">
      <c r="A89" s="19">
        <v>42975</v>
      </c>
      <c r="B89">
        <v>946.54</v>
      </c>
      <c r="C89">
        <v>953</v>
      </c>
      <c r="D89">
        <v>942.25</v>
      </c>
      <c r="E89">
        <v>946.02</v>
      </c>
      <c r="F89">
        <v>2529087</v>
      </c>
      <c r="G89">
        <v>0</v>
      </c>
      <c r="H89">
        <v>1</v>
      </c>
      <c r="I89">
        <v>946.54</v>
      </c>
      <c r="J89">
        <v>953</v>
      </c>
      <c r="K89">
        <v>942.25</v>
      </c>
      <c r="L89">
        <v>946.02</v>
      </c>
      <c r="M89">
        <v>2529087</v>
      </c>
    </row>
    <row r="90" spans="1:13" x14ac:dyDescent="0.25">
      <c r="A90" s="19">
        <v>42976</v>
      </c>
      <c r="B90">
        <v>940</v>
      </c>
      <c r="C90">
        <v>956</v>
      </c>
      <c r="D90">
        <v>936.33</v>
      </c>
      <c r="E90">
        <v>954.06</v>
      </c>
      <c r="F90">
        <v>2853972</v>
      </c>
      <c r="G90">
        <v>0</v>
      </c>
      <c r="H90">
        <v>1</v>
      </c>
      <c r="I90">
        <v>940</v>
      </c>
      <c r="J90">
        <v>956</v>
      </c>
      <c r="K90">
        <v>936.33</v>
      </c>
      <c r="L90">
        <v>954.06</v>
      </c>
      <c r="M90">
        <v>2853972</v>
      </c>
    </row>
    <row r="91" spans="1:13" x14ac:dyDescent="0.25">
      <c r="A91" s="19">
        <v>42977</v>
      </c>
      <c r="B91">
        <v>958.44</v>
      </c>
      <c r="C91">
        <v>969.41</v>
      </c>
      <c r="D91">
        <v>956.90620000000001</v>
      </c>
      <c r="E91">
        <v>967.59</v>
      </c>
      <c r="F91">
        <v>2860718</v>
      </c>
      <c r="G91">
        <v>0</v>
      </c>
      <c r="H91">
        <v>1</v>
      </c>
      <c r="I91">
        <v>958.44</v>
      </c>
      <c r="J91">
        <v>969.41</v>
      </c>
      <c r="K91">
        <v>956.90620000000001</v>
      </c>
      <c r="L91">
        <v>967.59</v>
      </c>
      <c r="M91">
        <v>2860718</v>
      </c>
    </row>
    <row r="92" spans="1:13" x14ac:dyDescent="0.25">
      <c r="A92" s="19">
        <v>42978</v>
      </c>
      <c r="B92">
        <v>974.7</v>
      </c>
      <c r="C92">
        <v>981</v>
      </c>
      <c r="D92">
        <v>972.76</v>
      </c>
      <c r="E92">
        <v>980.6</v>
      </c>
      <c r="F92">
        <v>3280945</v>
      </c>
      <c r="G92">
        <v>0</v>
      </c>
      <c r="H92">
        <v>1</v>
      </c>
      <c r="I92">
        <v>974.7</v>
      </c>
      <c r="J92">
        <v>981</v>
      </c>
      <c r="K92">
        <v>972.76</v>
      </c>
      <c r="L92">
        <v>980.6</v>
      </c>
      <c r="M92">
        <v>3280945</v>
      </c>
    </row>
    <row r="93" spans="1:13" x14ac:dyDescent="0.25">
      <c r="A93" s="19">
        <v>42979</v>
      </c>
      <c r="B93">
        <v>984.2</v>
      </c>
      <c r="C93">
        <v>984.5</v>
      </c>
      <c r="D93">
        <v>976.875</v>
      </c>
      <c r="E93">
        <v>978.25</v>
      </c>
      <c r="F93">
        <v>2423132</v>
      </c>
      <c r="G93">
        <v>0</v>
      </c>
      <c r="H93">
        <v>1</v>
      </c>
      <c r="I93">
        <v>984.2</v>
      </c>
      <c r="J93">
        <v>984.5</v>
      </c>
      <c r="K93">
        <v>976.875</v>
      </c>
      <c r="L93">
        <v>978.25</v>
      </c>
      <c r="M93">
        <v>2423132</v>
      </c>
    </row>
    <row r="94" spans="1:13" x14ac:dyDescent="0.25">
      <c r="A94" s="19">
        <v>42983</v>
      </c>
      <c r="B94">
        <v>975.4</v>
      </c>
      <c r="C94">
        <v>976.76990000000001</v>
      </c>
      <c r="D94">
        <v>960.37</v>
      </c>
      <c r="E94">
        <v>965.27</v>
      </c>
      <c r="F94">
        <v>2875228</v>
      </c>
      <c r="G94">
        <v>0</v>
      </c>
      <c r="H94">
        <v>1</v>
      </c>
      <c r="I94">
        <v>975.4</v>
      </c>
      <c r="J94">
        <v>976.76990000000001</v>
      </c>
      <c r="K94">
        <v>960.37</v>
      </c>
      <c r="L94">
        <v>965.27</v>
      </c>
      <c r="M94">
        <v>2875228</v>
      </c>
    </row>
    <row r="95" spans="1:13" x14ac:dyDescent="0.25">
      <c r="A95" s="19">
        <v>42984</v>
      </c>
      <c r="B95">
        <v>968.32</v>
      </c>
      <c r="C95">
        <v>971.84</v>
      </c>
      <c r="D95">
        <v>960.6</v>
      </c>
      <c r="E95">
        <v>967.8</v>
      </c>
      <c r="F95">
        <v>2106605</v>
      </c>
      <c r="G95">
        <v>0</v>
      </c>
      <c r="H95">
        <v>1</v>
      </c>
      <c r="I95">
        <v>968.32</v>
      </c>
      <c r="J95">
        <v>971.84</v>
      </c>
      <c r="K95">
        <v>960.6</v>
      </c>
      <c r="L95">
        <v>967.8</v>
      </c>
      <c r="M95">
        <v>2106605</v>
      </c>
    </row>
    <row r="96" spans="1:13" x14ac:dyDescent="0.25">
      <c r="A96" s="19">
        <v>42985</v>
      </c>
      <c r="B96">
        <v>974</v>
      </c>
      <c r="C96">
        <v>980.59</v>
      </c>
      <c r="D96">
        <v>972.55</v>
      </c>
      <c r="E96">
        <v>979.47</v>
      </c>
      <c r="F96">
        <v>2536000</v>
      </c>
      <c r="G96">
        <v>0</v>
      </c>
      <c r="H96">
        <v>1</v>
      </c>
      <c r="I96">
        <v>974</v>
      </c>
      <c r="J96">
        <v>980.59</v>
      </c>
      <c r="K96">
        <v>972.55</v>
      </c>
      <c r="L96">
        <v>979.47</v>
      </c>
      <c r="M96">
        <v>2536000</v>
      </c>
    </row>
    <row r="97" spans="1:13" x14ac:dyDescent="0.25">
      <c r="A97" s="19">
        <v>42986</v>
      </c>
      <c r="B97">
        <v>979.1</v>
      </c>
      <c r="C97">
        <v>979.88</v>
      </c>
      <c r="D97">
        <v>963.47</v>
      </c>
      <c r="E97">
        <v>965.9</v>
      </c>
      <c r="F97">
        <v>2578269</v>
      </c>
      <c r="G97">
        <v>0</v>
      </c>
      <c r="H97">
        <v>1</v>
      </c>
      <c r="I97">
        <v>979.1</v>
      </c>
      <c r="J97">
        <v>979.88</v>
      </c>
      <c r="K97">
        <v>963.47</v>
      </c>
      <c r="L97">
        <v>965.9</v>
      </c>
      <c r="M97">
        <v>2578269</v>
      </c>
    </row>
    <row r="98" spans="1:13" x14ac:dyDescent="0.25">
      <c r="A98" s="19">
        <v>42989</v>
      </c>
      <c r="B98">
        <v>974.46</v>
      </c>
      <c r="C98">
        <v>981.94</v>
      </c>
      <c r="D98">
        <v>974.22</v>
      </c>
      <c r="E98">
        <v>977.96</v>
      </c>
      <c r="F98">
        <v>2134582</v>
      </c>
      <c r="G98">
        <v>0</v>
      </c>
      <c r="H98">
        <v>1</v>
      </c>
      <c r="I98">
        <v>974.46</v>
      </c>
      <c r="J98">
        <v>981.94</v>
      </c>
      <c r="K98">
        <v>974.22</v>
      </c>
      <c r="L98">
        <v>977.96</v>
      </c>
      <c r="M98">
        <v>2134582</v>
      </c>
    </row>
    <row r="99" spans="1:13" x14ac:dyDescent="0.25">
      <c r="A99" s="19">
        <v>42990</v>
      </c>
      <c r="B99">
        <v>983.27</v>
      </c>
      <c r="C99">
        <v>984.67179999999996</v>
      </c>
      <c r="D99">
        <v>975.51700000000005</v>
      </c>
      <c r="E99">
        <v>982.58</v>
      </c>
      <c r="F99">
        <v>2444699</v>
      </c>
      <c r="G99">
        <v>0</v>
      </c>
      <c r="H99">
        <v>1</v>
      </c>
      <c r="I99">
        <v>983.27</v>
      </c>
      <c r="J99">
        <v>984.67179999999996</v>
      </c>
      <c r="K99">
        <v>975.51700000000005</v>
      </c>
      <c r="L99">
        <v>982.58</v>
      </c>
      <c r="M99">
        <v>2444699</v>
      </c>
    </row>
    <row r="100" spans="1:13" x14ac:dyDescent="0.25">
      <c r="A100" s="19">
        <v>42991</v>
      </c>
      <c r="B100">
        <v>983.97</v>
      </c>
      <c r="C100">
        <v>1000</v>
      </c>
      <c r="D100">
        <v>979.42</v>
      </c>
      <c r="E100">
        <v>999.6</v>
      </c>
      <c r="F100">
        <v>3314978</v>
      </c>
      <c r="G100">
        <v>0</v>
      </c>
      <c r="H100">
        <v>1</v>
      </c>
      <c r="I100">
        <v>983.97</v>
      </c>
      <c r="J100">
        <v>1000</v>
      </c>
      <c r="K100">
        <v>979.42</v>
      </c>
      <c r="L100">
        <v>999.6</v>
      </c>
      <c r="M100">
        <v>3314978</v>
      </c>
    </row>
    <row r="101" spans="1:13" x14ac:dyDescent="0.25">
      <c r="A101" s="19">
        <v>42992</v>
      </c>
      <c r="B101">
        <v>996.8</v>
      </c>
      <c r="C101">
        <v>998.56</v>
      </c>
      <c r="D101">
        <v>987.74</v>
      </c>
      <c r="E101">
        <v>992.21</v>
      </c>
      <c r="F101">
        <v>3788472</v>
      </c>
      <c r="G101">
        <v>0</v>
      </c>
      <c r="H101">
        <v>1</v>
      </c>
      <c r="I101">
        <v>996.8</v>
      </c>
      <c r="J101">
        <v>998.56</v>
      </c>
      <c r="K101">
        <v>987.74</v>
      </c>
      <c r="L101">
        <v>992.21</v>
      </c>
      <c r="M101">
        <v>3788472</v>
      </c>
    </row>
    <row r="102" spans="1:13" x14ac:dyDescent="0.25">
      <c r="A102" s="19">
        <v>42993</v>
      </c>
      <c r="B102">
        <v>993.01</v>
      </c>
      <c r="C102">
        <v>996.25</v>
      </c>
      <c r="D102">
        <v>984.03</v>
      </c>
      <c r="E102">
        <v>986.79</v>
      </c>
      <c r="F102">
        <v>3697742</v>
      </c>
      <c r="G102">
        <v>0</v>
      </c>
      <c r="H102">
        <v>1</v>
      </c>
      <c r="I102">
        <v>993.01</v>
      </c>
      <c r="J102">
        <v>996.25</v>
      </c>
      <c r="K102">
        <v>984.03</v>
      </c>
      <c r="L102">
        <v>986.79</v>
      </c>
      <c r="M102">
        <v>3697742</v>
      </c>
    </row>
    <row r="103" spans="1:13" x14ac:dyDescent="0.25">
      <c r="A103" s="19">
        <v>42996</v>
      </c>
      <c r="B103">
        <v>990.4</v>
      </c>
      <c r="C103">
        <v>992.79219999999998</v>
      </c>
      <c r="D103">
        <v>968.17</v>
      </c>
      <c r="E103">
        <v>974.19</v>
      </c>
      <c r="F103">
        <v>3376772</v>
      </c>
      <c r="G103">
        <v>0</v>
      </c>
      <c r="H103">
        <v>1</v>
      </c>
      <c r="I103">
        <v>990.4</v>
      </c>
      <c r="J103">
        <v>992.79219999999998</v>
      </c>
      <c r="K103">
        <v>968.17</v>
      </c>
      <c r="L103">
        <v>974.19</v>
      </c>
      <c r="M103">
        <v>3376772</v>
      </c>
    </row>
    <row r="104" spans="1:13" x14ac:dyDescent="0.25">
      <c r="A104" s="19">
        <v>42997</v>
      </c>
      <c r="B104">
        <v>977.25</v>
      </c>
      <c r="C104">
        <v>978.24</v>
      </c>
      <c r="D104">
        <v>967.46</v>
      </c>
      <c r="E104">
        <v>969.86</v>
      </c>
      <c r="F104">
        <v>2614059</v>
      </c>
      <c r="G104">
        <v>0</v>
      </c>
      <c r="H104">
        <v>1</v>
      </c>
      <c r="I104">
        <v>977.25</v>
      </c>
      <c r="J104">
        <v>978.24</v>
      </c>
      <c r="K104">
        <v>967.46</v>
      </c>
      <c r="L104">
        <v>969.86</v>
      </c>
      <c r="M104">
        <v>2614059</v>
      </c>
    </row>
    <row r="105" spans="1:13" x14ac:dyDescent="0.25">
      <c r="A105" s="19">
        <v>42998</v>
      </c>
      <c r="B105">
        <v>971.79</v>
      </c>
      <c r="C105">
        <v>974.81</v>
      </c>
      <c r="D105">
        <v>962.1626</v>
      </c>
      <c r="E105">
        <v>973.21</v>
      </c>
      <c r="F105">
        <v>2727355</v>
      </c>
      <c r="G105">
        <v>0</v>
      </c>
      <c r="H105">
        <v>1</v>
      </c>
      <c r="I105">
        <v>971.79</v>
      </c>
      <c r="J105">
        <v>974.81</v>
      </c>
      <c r="K105">
        <v>962.1626</v>
      </c>
      <c r="L105">
        <v>973.21</v>
      </c>
      <c r="M105">
        <v>2727355</v>
      </c>
    </row>
    <row r="106" spans="1:13" x14ac:dyDescent="0.25">
      <c r="A106" s="19">
        <v>42999</v>
      </c>
      <c r="B106">
        <v>971.31</v>
      </c>
      <c r="C106">
        <v>971.7</v>
      </c>
      <c r="D106">
        <v>962.02</v>
      </c>
      <c r="E106">
        <v>964.65</v>
      </c>
      <c r="F106">
        <v>2252940</v>
      </c>
      <c r="G106">
        <v>0</v>
      </c>
      <c r="H106">
        <v>1</v>
      </c>
      <c r="I106">
        <v>971.31</v>
      </c>
      <c r="J106">
        <v>971.7</v>
      </c>
      <c r="K106">
        <v>962.02</v>
      </c>
      <c r="L106">
        <v>964.65</v>
      </c>
      <c r="M106">
        <v>2252940</v>
      </c>
    </row>
    <row r="107" spans="1:13" x14ac:dyDescent="0.25">
      <c r="A107" s="19">
        <v>43000</v>
      </c>
      <c r="B107">
        <v>961.01</v>
      </c>
      <c r="C107">
        <v>965.61</v>
      </c>
      <c r="D107">
        <v>954.42</v>
      </c>
      <c r="E107">
        <v>955.1</v>
      </c>
      <c r="F107">
        <v>2602418</v>
      </c>
      <c r="G107">
        <v>0</v>
      </c>
      <c r="H107">
        <v>1</v>
      </c>
      <c r="I107">
        <v>961.01</v>
      </c>
      <c r="J107">
        <v>965.61</v>
      </c>
      <c r="K107">
        <v>954.42</v>
      </c>
      <c r="L107">
        <v>955.1</v>
      </c>
      <c r="M107">
        <v>2602418</v>
      </c>
    </row>
    <row r="108" spans="1:13" x14ac:dyDescent="0.25">
      <c r="A108" s="19">
        <v>43003</v>
      </c>
      <c r="B108">
        <v>949.31</v>
      </c>
      <c r="C108">
        <v>949.42</v>
      </c>
      <c r="D108">
        <v>932.89</v>
      </c>
      <c r="E108">
        <v>939.79</v>
      </c>
      <c r="F108">
        <v>5065542</v>
      </c>
      <c r="G108">
        <v>0</v>
      </c>
      <c r="H108">
        <v>1</v>
      </c>
      <c r="I108">
        <v>949.31</v>
      </c>
      <c r="J108">
        <v>949.42</v>
      </c>
      <c r="K108">
        <v>932.89</v>
      </c>
      <c r="L108">
        <v>939.79</v>
      </c>
      <c r="M108">
        <v>5065542</v>
      </c>
    </row>
    <row r="109" spans="1:13" x14ac:dyDescent="0.25">
      <c r="A109" s="19">
        <v>43004</v>
      </c>
      <c r="B109">
        <v>945.49</v>
      </c>
      <c r="C109">
        <v>948.63</v>
      </c>
      <c r="D109">
        <v>931.75</v>
      </c>
      <c r="E109">
        <v>938.6</v>
      </c>
      <c r="F109">
        <v>3464183</v>
      </c>
      <c r="G109">
        <v>0</v>
      </c>
      <c r="H109">
        <v>1</v>
      </c>
      <c r="I109">
        <v>945.49</v>
      </c>
      <c r="J109">
        <v>948.63</v>
      </c>
      <c r="K109">
        <v>931.75</v>
      </c>
      <c r="L109">
        <v>938.6</v>
      </c>
      <c r="M109">
        <v>3464183</v>
      </c>
    </row>
    <row r="110" spans="1:13" x14ac:dyDescent="0.25">
      <c r="A110" s="19">
        <v>43005</v>
      </c>
      <c r="B110">
        <v>948</v>
      </c>
      <c r="C110">
        <v>955.3</v>
      </c>
      <c r="D110">
        <v>943.3</v>
      </c>
      <c r="E110">
        <v>950.87</v>
      </c>
      <c r="F110">
        <v>3111263</v>
      </c>
      <c r="G110">
        <v>0</v>
      </c>
      <c r="H110">
        <v>1</v>
      </c>
      <c r="I110">
        <v>948</v>
      </c>
      <c r="J110">
        <v>955.3</v>
      </c>
      <c r="K110">
        <v>943.3</v>
      </c>
      <c r="L110">
        <v>950.87</v>
      </c>
      <c r="M110">
        <v>3111263</v>
      </c>
    </row>
    <row r="111" spans="1:13" x14ac:dyDescent="0.25">
      <c r="A111" s="19">
        <v>43006</v>
      </c>
      <c r="B111">
        <v>951.86</v>
      </c>
      <c r="C111">
        <v>959.7</v>
      </c>
      <c r="D111">
        <v>950.101</v>
      </c>
      <c r="E111">
        <v>956.4</v>
      </c>
      <c r="F111">
        <v>2512567</v>
      </c>
      <c r="G111">
        <v>0</v>
      </c>
      <c r="H111">
        <v>1</v>
      </c>
      <c r="I111">
        <v>951.86</v>
      </c>
      <c r="J111">
        <v>959.7</v>
      </c>
      <c r="K111">
        <v>950.101</v>
      </c>
      <c r="L111">
        <v>956.4</v>
      </c>
      <c r="M111">
        <v>2512567</v>
      </c>
    </row>
    <row r="112" spans="1:13" x14ac:dyDescent="0.25">
      <c r="A112" s="19">
        <v>43007</v>
      </c>
      <c r="B112">
        <v>960.11</v>
      </c>
      <c r="C112">
        <v>964.83</v>
      </c>
      <c r="D112">
        <v>958.375</v>
      </c>
      <c r="E112">
        <v>961.35</v>
      </c>
      <c r="F112">
        <v>2411643</v>
      </c>
      <c r="G112">
        <v>0</v>
      </c>
      <c r="H112">
        <v>1</v>
      </c>
      <c r="I112">
        <v>960.11</v>
      </c>
      <c r="J112">
        <v>964.83</v>
      </c>
      <c r="K112">
        <v>958.375</v>
      </c>
      <c r="L112">
        <v>961.35</v>
      </c>
      <c r="M112">
        <v>2411643</v>
      </c>
    </row>
    <row r="113" spans="1:13" x14ac:dyDescent="0.25">
      <c r="A113" s="19">
        <v>43010</v>
      </c>
      <c r="B113">
        <v>964</v>
      </c>
      <c r="C113">
        <v>967.30499999999995</v>
      </c>
      <c r="D113">
        <v>952.12009999999998</v>
      </c>
      <c r="E113">
        <v>959.19</v>
      </c>
      <c r="F113">
        <v>2415846</v>
      </c>
      <c r="G113">
        <v>0</v>
      </c>
      <c r="H113">
        <v>1</v>
      </c>
      <c r="I113">
        <v>964</v>
      </c>
      <c r="J113">
        <v>967.30499999999995</v>
      </c>
      <c r="K113">
        <v>952.12009999999998</v>
      </c>
      <c r="L113">
        <v>959.19</v>
      </c>
      <c r="M113">
        <v>2415846</v>
      </c>
    </row>
    <row r="114" spans="1:13" x14ac:dyDescent="0.25">
      <c r="A114" s="19">
        <v>43011</v>
      </c>
      <c r="B114">
        <v>958</v>
      </c>
      <c r="C114">
        <v>963.69</v>
      </c>
      <c r="D114">
        <v>950.37</v>
      </c>
      <c r="E114">
        <v>957.1</v>
      </c>
      <c r="F114">
        <v>2643484</v>
      </c>
      <c r="G114">
        <v>0</v>
      </c>
      <c r="H114">
        <v>1</v>
      </c>
      <c r="I114">
        <v>958</v>
      </c>
      <c r="J114">
        <v>963.69</v>
      </c>
      <c r="K114">
        <v>950.37</v>
      </c>
      <c r="L114">
        <v>957.1</v>
      </c>
      <c r="M114">
        <v>2643484</v>
      </c>
    </row>
    <row r="115" spans="1:13" x14ac:dyDescent="0.25">
      <c r="A115" s="19">
        <v>43012</v>
      </c>
      <c r="B115">
        <v>954.21</v>
      </c>
      <c r="C115">
        <v>967.79</v>
      </c>
      <c r="D115">
        <v>954.05</v>
      </c>
      <c r="E115">
        <v>965.45</v>
      </c>
      <c r="F115">
        <v>2460721</v>
      </c>
      <c r="G115">
        <v>0</v>
      </c>
      <c r="H115">
        <v>1</v>
      </c>
      <c r="I115">
        <v>954.21</v>
      </c>
      <c r="J115">
        <v>967.79</v>
      </c>
      <c r="K115">
        <v>954.05</v>
      </c>
      <c r="L115">
        <v>965.45</v>
      </c>
      <c r="M115">
        <v>2460721</v>
      </c>
    </row>
    <row r="116" spans="1:13" x14ac:dyDescent="0.25">
      <c r="A116" s="19">
        <v>43013</v>
      </c>
      <c r="B116">
        <v>970</v>
      </c>
      <c r="C116">
        <v>981.51</v>
      </c>
      <c r="D116">
        <v>969.64</v>
      </c>
      <c r="E116">
        <v>980.85</v>
      </c>
      <c r="F116">
        <v>3119487</v>
      </c>
      <c r="G116">
        <v>0</v>
      </c>
      <c r="H116">
        <v>1</v>
      </c>
      <c r="I116">
        <v>970</v>
      </c>
      <c r="J116">
        <v>981.51</v>
      </c>
      <c r="K116">
        <v>969.64</v>
      </c>
      <c r="L116">
        <v>980.85</v>
      </c>
      <c r="M116">
        <v>3119487</v>
      </c>
    </row>
    <row r="117" spans="1:13" x14ac:dyDescent="0.25">
      <c r="A117" s="19">
        <v>43014</v>
      </c>
      <c r="B117">
        <v>975.64</v>
      </c>
      <c r="C117">
        <v>995.75</v>
      </c>
      <c r="D117">
        <v>975.64</v>
      </c>
      <c r="E117">
        <v>989.58</v>
      </c>
      <c r="F117">
        <v>3719840</v>
      </c>
      <c r="G117">
        <v>0</v>
      </c>
      <c r="H117">
        <v>1</v>
      </c>
      <c r="I117">
        <v>975.64</v>
      </c>
      <c r="J117">
        <v>995.75</v>
      </c>
      <c r="K117">
        <v>975.64</v>
      </c>
      <c r="L117">
        <v>989.58</v>
      </c>
      <c r="M117">
        <v>3719840</v>
      </c>
    </row>
    <row r="118" spans="1:13" x14ac:dyDescent="0.25">
      <c r="A118" s="19">
        <v>43017</v>
      </c>
      <c r="B118">
        <v>993.24</v>
      </c>
      <c r="C118">
        <v>998.5</v>
      </c>
      <c r="D118">
        <v>987.5</v>
      </c>
      <c r="E118">
        <v>990.99</v>
      </c>
      <c r="F118">
        <v>2927994</v>
      </c>
      <c r="G118">
        <v>0</v>
      </c>
      <c r="H118">
        <v>1</v>
      </c>
      <c r="I118">
        <v>993.24</v>
      </c>
      <c r="J118">
        <v>998.5</v>
      </c>
      <c r="K118">
        <v>987.5</v>
      </c>
      <c r="L118">
        <v>990.99</v>
      </c>
      <c r="M118">
        <v>2927994</v>
      </c>
    </row>
    <row r="119" spans="1:13" x14ac:dyDescent="0.25">
      <c r="A119" s="19">
        <v>43018</v>
      </c>
      <c r="B119">
        <v>996.67</v>
      </c>
      <c r="C119">
        <v>997.95</v>
      </c>
      <c r="D119">
        <v>980.09900000000005</v>
      </c>
      <c r="E119">
        <v>987.2</v>
      </c>
      <c r="F119">
        <v>3062820</v>
      </c>
      <c r="G119">
        <v>0</v>
      </c>
      <c r="H119">
        <v>1</v>
      </c>
      <c r="I119">
        <v>996.67</v>
      </c>
      <c r="J119">
        <v>997.95</v>
      </c>
      <c r="K119">
        <v>980.09900000000005</v>
      </c>
      <c r="L119">
        <v>987.2</v>
      </c>
      <c r="M119">
        <v>3062820</v>
      </c>
    </row>
    <row r="120" spans="1:13" x14ac:dyDescent="0.25">
      <c r="A120" s="19">
        <v>43019</v>
      </c>
      <c r="B120">
        <v>991.27</v>
      </c>
      <c r="C120">
        <v>995.5</v>
      </c>
      <c r="D120">
        <v>986.69500000000005</v>
      </c>
      <c r="E120">
        <v>995</v>
      </c>
      <c r="F120">
        <v>2310872</v>
      </c>
      <c r="G120">
        <v>0</v>
      </c>
      <c r="H120">
        <v>1</v>
      </c>
      <c r="I120">
        <v>991.27</v>
      </c>
      <c r="J120">
        <v>995.5</v>
      </c>
      <c r="K120">
        <v>986.69500000000005</v>
      </c>
      <c r="L120">
        <v>995</v>
      </c>
      <c r="M120">
        <v>2310872</v>
      </c>
    </row>
    <row r="121" spans="1:13" x14ac:dyDescent="0.25">
      <c r="A121" s="19">
        <v>43020</v>
      </c>
      <c r="B121">
        <v>996.81</v>
      </c>
      <c r="C121">
        <v>1008.44</v>
      </c>
      <c r="D121">
        <v>992.4</v>
      </c>
      <c r="E121">
        <v>1000.93</v>
      </c>
      <c r="F121">
        <v>4056172</v>
      </c>
      <c r="G121">
        <v>0</v>
      </c>
      <c r="H121">
        <v>1</v>
      </c>
      <c r="I121">
        <v>996.81</v>
      </c>
      <c r="J121">
        <v>1008.44</v>
      </c>
      <c r="K121">
        <v>992.4</v>
      </c>
      <c r="L121">
        <v>1000.93</v>
      </c>
      <c r="M121">
        <v>4056172</v>
      </c>
    </row>
    <row r="122" spans="1:13" x14ac:dyDescent="0.25">
      <c r="A122" s="19">
        <v>43021</v>
      </c>
      <c r="B122">
        <v>1007</v>
      </c>
      <c r="C122">
        <v>1007.77</v>
      </c>
      <c r="D122">
        <v>1001.03</v>
      </c>
      <c r="E122">
        <v>1002.94</v>
      </c>
      <c r="F122">
        <v>2399403</v>
      </c>
      <c r="G122">
        <v>0</v>
      </c>
      <c r="H122">
        <v>1</v>
      </c>
      <c r="I122">
        <v>1007</v>
      </c>
      <c r="J122">
        <v>1007.77</v>
      </c>
      <c r="K122">
        <v>1001.03</v>
      </c>
      <c r="L122">
        <v>1002.94</v>
      </c>
      <c r="M122">
        <v>2399403</v>
      </c>
    </row>
    <row r="123" spans="1:13" x14ac:dyDescent="0.25">
      <c r="A123" s="19">
        <v>43024</v>
      </c>
      <c r="B123">
        <v>1008.44</v>
      </c>
      <c r="C123">
        <v>1009.57</v>
      </c>
      <c r="D123">
        <v>1001.04</v>
      </c>
      <c r="E123">
        <v>1006.34</v>
      </c>
      <c r="F123">
        <v>1991556</v>
      </c>
      <c r="G123">
        <v>0</v>
      </c>
      <c r="H123">
        <v>1</v>
      </c>
      <c r="I123">
        <v>1008.44</v>
      </c>
      <c r="J123">
        <v>1009.57</v>
      </c>
      <c r="K123">
        <v>1001.04</v>
      </c>
      <c r="L123">
        <v>1006.34</v>
      </c>
      <c r="M123">
        <v>1991556</v>
      </c>
    </row>
    <row r="124" spans="1:13" x14ac:dyDescent="0.25">
      <c r="A124" s="19">
        <v>43025</v>
      </c>
      <c r="B124">
        <v>1005.59</v>
      </c>
      <c r="C124">
        <v>1011.47</v>
      </c>
      <c r="D124">
        <v>1004.38</v>
      </c>
      <c r="E124">
        <v>1009.13</v>
      </c>
      <c r="F124">
        <v>2307075</v>
      </c>
      <c r="G124">
        <v>0</v>
      </c>
      <c r="H124">
        <v>1</v>
      </c>
      <c r="I124">
        <v>1005.59</v>
      </c>
      <c r="J124">
        <v>1011.47</v>
      </c>
      <c r="K124">
        <v>1004.38</v>
      </c>
      <c r="L124">
        <v>1009.13</v>
      </c>
      <c r="M124">
        <v>2307075</v>
      </c>
    </row>
    <row r="125" spans="1:13" x14ac:dyDescent="0.25">
      <c r="A125" s="19">
        <v>43026</v>
      </c>
      <c r="B125">
        <v>1009.27</v>
      </c>
      <c r="C125">
        <v>1022.31</v>
      </c>
      <c r="D125">
        <v>996.55</v>
      </c>
      <c r="E125">
        <v>997</v>
      </c>
      <c r="F125">
        <v>2477357</v>
      </c>
      <c r="G125">
        <v>0</v>
      </c>
      <c r="H125">
        <v>1</v>
      </c>
      <c r="I125">
        <v>1009.27</v>
      </c>
      <c r="J125">
        <v>1022.31</v>
      </c>
      <c r="K125">
        <v>996.55</v>
      </c>
      <c r="L125">
        <v>997</v>
      </c>
      <c r="M125">
        <v>2477357</v>
      </c>
    </row>
    <row r="126" spans="1:13" x14ac:dyDescent="0.25">
      <c r="A126" s="19">
        <v>43027</v>
      </c>
      <c r="B126">
        <v>990</v>
      </c>
      <c r="C126">
        <v>991.05</v>
      </c>
      <c r="D126">
        <v>980.24</v>
      </c>
      <c r="E126">
        <v>986.61</v>
      </c>
      <c r="F126">
        <v>3040066</v>
      </c>
      <c r="G126">
        <v>0</v>
      </c>
      <c r="H126">
        <v>1</v>
      </c>
      <c r="I126">
        <v>990</v>
      </c>
      <c r="J126">
        <v>991.05</v>
      </c>
      <c r="K126">
        <v>980.24</v>
      </c>
      <c r="L126">
        <v>986.61</v>
      </c>
      <c r="M126">
        <v>3040066</v>
      </c>
    </row>
    <row r="127" spans="1:13" x14ac:dyDescent="0.25">
      <c r="A127" s="19">
        <v>43028</v>
      </c>
      <c r="B127">
        <v>993.53</v>
      </c>
      <c r="C127">
        <v>994.62</v>
      </c>
      <c r="D127">
        <v>982</v>
      </c>
      <c r="E127">
        <v>982.91</v>
      </c>
      <c r="F127">
        <v>2294145</v>
      </c>
      <c r="G127">
        <v>0</v>
      </c>
      <c r="H127">
        <v>1</v>
      </c>
      <c r="I127">
        <v>993.53</v>
      </c>
      <c r="J127">
        <v>994.62</v>
      </c>
      <c r="K127">
        <v>982</v>
      </c>
      <c r="L127">
        <v>982.91</v>
      </c>
      <c r="M127">
        <v>2294145</v>
      </c>
    </row>
    <row r="128" spans="1:13" x14ac:dyDescent="0.25">
      <c r="A128" s="19">
        <v>43031</v>
      </c>
      <c r="B128">
        <v>986.73</v>
      </c>
      <c r="C128">
        <v>986.77499999999998</v>
      </c>
      <c r="D128">
        <v>962.5</v>
      </c>
      <c r="E128">
        <v>966.3</v>
      </c>
      <c r="F128">
        <v>3465469</v>
      </c>
      <c r="G128">
        <v>0</v>
      </c>
      <c r="H128">
        <v>1</v>
      </c>
      <c r="I128">
        <v>986.73</v>
      </c>
      <c r="J128">
        <v>986.77499999999998</v>
      </c>
      <c r="K128">
        <v>962.5</v>
      </c>
      <c r="L128">
        <v>966.3</v>
      </c>
      <c r="M128">
        <v>3465469</v>
      </c>
    </row>
    <row r="129" spans="1:13" x14ac:dyDescent="0.25">
      <c r="A129" s="19">
        <v>43032</v>
      </c>
      <c r="B129">
        <v>969</v>
      </c>
      <c r="C129">
        <v>979.85</v>
      </c>
      <c r="D129">
        <v>965</v>
      </c>
      <c r="E129">
        <v>975.9</v>
      </c>
      <c r="F129">
        <v>2666782</v>
      </c>
      <c r="G129">
        <v>0</v>
      </c>
      <c r="H129">
        <v>1</v>
      </c>
      <c r="I129">
        <v>969</v>
      </c>
      <c r="J129">
        <v>979.85</v>
      </c>
      <c r="K129">
        <v>965</v>
      </c>
      <c r="L129">
        <v>975.9</v>
      </c>
      <c r="M129">
        <v>2666782</v>
      </c>
    </row>
    <row r="130" spans="1:13" x14ac:dyDescent="0.25">
      <c r="A130" s="19">
        <v>43033</v>
      </c>
      <c r="B130">
        <v>978</v>
      </c>
      <c r="C130">
        <v>984.44</v>
      </c>
      <c r="D130">
        <v>966.24</v>
      </c>
      <c r="E130">
        <v>972.91</v>
      </c>
      <c r="F130">
        <v>2969295</v>
      </c>
      <c r="G130">
        <v>0</v>
      </c>
      <c r="H130">
        <v>1</v>
      </c>
      <c r="I130">
        <v>978</v>
      </c>
      <c r="J130">
        <v>984.44</v>
      </c>
      <c r="K130">
        <v>966.24</v>
      </c>
      <c r="L130">
        <v>972.91</v>
      </c>
      <c r="M130">
        <v>2969295</v>
      </c>
    </row>
    <row r="131" spans="1:13" x14ac:dyDescent="0.25">
      <c r="A131" s="19">
        <v>43034</v>
      </c>
      <c r="B131">
        <v>980.33</v>
      </c>
      <c r="C131">
        <v>982.9</v>
      </c>
      <c r="D131">
        <v>968.55</v>
      </c>
      <c r="E131">
        <v>972.43</v>
      </c>
      <c r="F131">
        <v>3670282</v>
      </c>
      <c r="G131">
        <v>0</v>
      </c>
      <c r="H131">
        <v>1</v>
      </c>
      <c r="I131">
        <v>980.33</v>
      </c>
      <c r="J131">
        <v>982.9</v>
      </c>
      <c r="K131">
        <v>968.55</v>
      </c>
      <c r="L131">
        <v>972.43</v>
      </c>
      <c r="M131">
        <v>3670282</v>
      </c>
    </row>
    <row r="132" spans="1:13" x14ac:dyDescent="0.25">
      <c r="A132" s="19">
        <v>43035</v>
      </c>
      <c r="B132">
        <v>1058.1400000000001</v>
      </c>
      <c r="C132">
        <v>1105.58</v>
      </c>
      <c r="D132">
        <v>1050.55</v>
      </c>
      <c r="E132">
        <v>1100.95</v>
      </c>
      <c r="F132">
        <v>16360527</v>
      </c>
      <c r="G132">
        <v>0</v>
      </c>
      <c r="H132">
        <v>1</v>
      </c>
      <c r="I132">
        <v>1058.1400000000001</v>
      </c>
      <c r="J132">
        <v>1105.58</v>
      </c>
      <c r="K132">
        <v>1050.55</v>
      </c>
      <c r="L132">
        <v>1100.95</v>
      </c>
      <c r="M132">
        <v>16360527</v>
      </c>
    </row>
    <row r="133" spans="1:13" x14ac:dyDescent="0.25">
      <c r="A133" s="19">
        <v>43038</v>
      </c>
      <c r="B133">
        <v>1095.01</v>
      </c>
      <c r="C133">
        <v>1122.79</v>
      </c>
      <c r="D133">
        <v>1093.56</v>
      </c>
      <c r="E133">
        <v>1110.8499999999999</v>
      </c>
      <c r="F133">
        <v>6516639</v>
      </c>
      <c r="G133">
        <v>0</v>
      </c>
      <c r="H133">
        <v>1</v>
      </c>
      <c r="I133">
        <v>1095.01</v>
      </c>
      <c r="J133">
        <v>1122.79</v>
      </c>
      <c r="K133">
        <v>1093.56</v>
      </c>
      <c r="L133">
        <v>1110.8499999999999</v>
      </c>
      <c r="M133">
        <v>6516639</v>
      </c>
    </row>
    <row r="134" spans="1:13" x14ac:dyDescent="0.25">
      <c r="A134" s="19">
        <v>43039</v>
      </c>
      <c r="B134">
        <v>1109</v>
      </c>
      <c r="C134">
        <v>1110.54</v>
      </c>
      <c r="D134">
        <v>1101.1199999999999</v>
      </c>
      <c r="E134">
        <v>1105.28</v>
      </c>
      <c r="F134">
        <v>3428461</v>
      </c>
      <c r="G134">
        <v>0</v>
      </c>
      <c r="H134">
        <v>1</v>
      </c>
      <c r="I134">
        <v>1109</v>
      </c>
      <c r="J134">
        <v>1110.54</v>
      </c>
      <c r="K134">
        <v>1101.1199999999999</v>
      </c>
      <c r="L134">
        <v>1105.28</v>
      </c>
      <c r="M134">
        <v>3428461</v>
      </c>
    </row>
    <row r="135" spans="1:13" x14ac:dyDescent="0.25">
      <c r="A135" s="19">
        <v>43040</v>
      </c>
      <c r="B135">
        <v>1105.4000000000001</v>
      </c>
      <c r="C135">
        <v>1108.97</v>
      </c>
      <c r="D135">
        <v>1096.74</v>
      </c>
      <c r="E135">
        <v>1103.68</v>
      </c>
      <c r="F135">
        <v>3723680</v>
      </c>
      <c r="G135">
        <v>0</v>
      </c>
      <c r="H135">
        <v>1</v>
      </c>
      <c r="I135">
        <v>1105.4000000000001</v>
      </c>
      <c r="J135">
        <v>1108.97</v>
      </c>
      <c r="K135">
        <v>1096.74</v>
      </c>
      <c r="L135">
        <v>1103.68</v>
      </c>
      <c r="M135">
        <v>3723680</v>
      </c>
    </row>
    <row r="136" spans="1:13" x14ac:dyDescent="0.25">
      <c r="A136" s="19">
        <v>43041</v>
      </c>
      <c r="B136">
        <v>1097.81</v>
      </c>
      <c r="C136">
        <v>1101.94</v>
      </c>
      <c r="D136">
        <v>1086.8699999999999</v>
      </c>
      <c r="E136">
        <v>1094.22</v>
      </c>
      <c r="F136">
        <v>3658748</v>
      </c>
      <c r="G136">
        <v>0</v>
      </c>
      <c r="H136">
        <v>1</v>
      </c>
      <c r="I136">
        <v>1097.81</v>
      </c>
      <c r="J136">
        <v>1101.94</v>
      </c>
      <c r="K136">
        <v>1086.8699999999999</v>
      </c>
      <c r="L136">
        <v>1094.22</v>
      </c>
      <c r="M136">
        <v>3658748</v>
      </c>
    </row>
    <row r="137" spans="1:13" x14ac:dyDescent="0.25">
      <c r="A137" s="19">
        <v>43042</v>
      </c>
      <c r="B137">
        <v>1091.1500000000001</v>
      </c>
      <c r="C137">
        <v>1112.68</v>
      </c>
      <c r="D137">
        <v>1088.52</v>
      </c>
      <c r="E137">
        <v>1111.5999999999999</v>
      </c>
      <c r="F137">
        <v>3685172</v>
      </c>
      <c r="G137">
        <v>0</v>
      </c>
      <c r="H137">
        <v>1</v>
      </c>
      <c r="I137">
        <v>1091.1500000000001</v>
      </c>
      <c r="J137">
        <v>1112.68</v>
      </c>
      <c r="K137">
        <v>1088.52</v>
      </c>
      <c r="L137">
        <v>1111.5999999999999</v>
      </c>
      <c r="M137">
        <v>3685172</v>
      </c>
    </row>
    <row r="138" spans="1:13" x14ac:dyDescent="0.25">
      <c r="A138" s="19">
        <v>43045</v>
      </c>
      <c r="B138">
        <v>1109.1500000000001</v>
      </c>
      <c r="C138">
        <v>1125.4100000000001</v>
      </c>
      <c r="D138">
        <v>1108.77</v>
      </c>
      <c r="E138">
        <v>1120.6600000000001</v>
      </c>
      <c r="F138">
        <v>3313857</v>
      </c>
      <c r="G138">
        <v>0</v>
      </c>
      <c r="H138">
        <v>1</v>
      </c>
      <c r="I138">
        <v>1109.1500000000001</v>
      </c>
      <c r="J138">
        <v>1125.4100000000001</v>
      </c>
      <c r="K138">
        <v>1108.77</v>
      </c>
      <c r="L138">
        <v>1120.6600000000001</v>
      </c>
      <c r="M138">
        <v>3313857</v>
      </c>
    </row>
    <row r="139" spans="1:13" x14ac:dyDescent="0.25">
      <c r="A139" s="19">
        <v>43046</v>
      </c>
      <c r="B139">
        <v>1124.74</v>
      </c>
      <c r="C139">
        <v>1130.5999999999999</v>
      </c>
      <c r="D139">
        <v>1117.5</v>
      </c>
      <c r="E139">
        <v>1123.17</v>
      </c>
      <c r="F139">
        <v>2623474</v>
      </c>
      <c r="G139">
        <v>0</v>
      </c>
      <c r="H139">
        <v>1</v>
      </c>
      <c r="I139">
        <v>1124.74</v>
      </c>
      <c r="J139">
        <v>1130.5999999999999</v>
      </c>
      <c r="K139">
        <v>1117.5</v>
      </c>
      <c r="L139">
        <v>1123.17</v>
      </c>
      <c r="M139">
        <v>2623474</v>
      </c>
    </row>
    <row r="140" spans="1:13" x14ac:dyDescent="0.25">
      <c r="A140" s="19">
        <v>43048</v>
      </c>
      <c r="B140">
        <v>1125.96</v>
      </c>
      <c r="C140">
        <v>1129.6199999999999</v>
      </c>
      <c r="D140">
        <v>1115.77</v>
      </c>
      <c r="E140">
        <v>1129.1300000000001</v>
      </c>
      <c r="F140">
        <v>3661411</v>
      </c>
      <c r="G140">
        <v>0</v>
      </c>
      <c r="H140">
        <v>1</v>
      </c>
      <c r="I140">
        <v>1125.96</v>
      </c>
      <c r="J140">
        <v>1129.6199999999999</v>
      </c>
      <c r="K140">
        <v>1115.77</v>
      </c>
      <c r="L140">
        <v>1129.1300000000001</v>
      </c>
      <c r="M140">
        <v>3661411</v>
      </c>
    </row>
    <row r="141" spans="1:13" x14ac:dyDescent="0.25">
      <c r="H141">
        <v>1</v>
      </c>
      <c r="I141">
        <v>50.85</v>
      </c>
      <c r="J141">
        <v>51.24</v>
      </c>
      <c r="K141">
        <v>50.59</v>
      </c>
      <c r="L141">
        <v>50.82</v>
      </c>
      <c r="M141">
        <v>4424470</v>
      </c>
    </row>
    <row r="142" spans="1:13" x14ac:dyDescent="0.25">
      <c r="H142">
        <v>1</v>
      </c>
      <c r="I142">
        <v>51.958566197726</v>
      </c>
      <c r="J142">
        <v>52.212386779726003</v>
      </c>
      <c r="K142">
        <v>51.659953748314003</v>
      </c>
      <c r="L142">
        <v>52.127779919060004</v>
      </c>
      <c r="M142">
        <v>3225277</v>
      </c>
    </row>
    <row r="143" spans="1:13" x14ac:dyDescent="0.25">
      <c r="H143">
        <v>1</v>
      </c>
      <c r="I143">
        <v>51.998381190981</v>
      </c>
      <c r="J143">
        <v>52.227317402197002</v>
      </c>
      <c r="K143">
        <v>51.500693775294003</v>
      </c>
      <c r="L143">
        <v>51.958566197726</v>
      </c>
      <c r="M143">
        <v>2825445</v>
      </c>
    </row>
    <row r="144" spans="1:13" x14ac:dyDescent="0.25">
      <c r="H144">
        <v>1</v>
      </c>
      <c r="I144">
        <v>52.127779919060004</v>
      </c>
      <c r="J144">
        <v>52.157641164000999</v>
      </c>
      <c r="K144">
        <v>51.809259973019998</v>
      </c>
      <c r="L144">
        <v>51.878936211216001</v>
      </c>
      <c r="M144">
        <v>2097944</v>
      </c>
    </row>
    <row r="145" spans="8:13" x14ac:dyDescent="0.25">
      <c r="H145">
        <v>1</v>
      </c>
      <c r="I145">
        <v>52.715051069570002</v>
      </c>
      <c r="J145">
        <v>52.715051069570002</v>
      </c>
      <c r="K145">
        <v>52.227317402197002</v>
      </c>
      <c r="L145">
        <v>52.515976103295003</v>
      </c>
      <c r="M145">
        <v>3374470</v>
      </c>
    </row>
    <row r="146" spans="8:13" x14ac:dyDescent="0.25">
      <c r="H146">
        <v>1</v>
      </c>
      <c r="I146">
        <v>52.506022354982001</v>
      </c>
      <c r="J146">
        <v>52.774773559453003</v>
      </c>
      <c r="K146">
        <v>52.287039892079001</v>
      </c>
      <c r="L146">
        <v>52.764819811138999</v>
      </c>
      <c r="M146">
        <v>2693038</v>
      </c>
    </row>
    <row r="147" spans="8:13" x14ac:dyDescent="0.25">
      <c r="H147">
        <v>1</v>
      </c>
      <c r="I147">
        <v>52.774773559453003</v>
      </c>
      <c r="J147">
        <v>53.068409134707998</v>
      </c>
      <c r="K147">
        <v>52.555791096550003</v>
      </c>
      <c r="L147">
        <v>52.774773559453003</v>
      </c>
      <c r="M147">
        <v>2734784</v>
      </c>
    </row>
    <row r="148" spans="8:13" x14ac:dyDescent="0.25">
      <c r="H148">
        <v>1</v>
      </c>
      <c r="I148">
        <v>52.665282328002</v>
      </c>
      <c r="J148">
        <v>53.416790325689</v>
      </c>
      <c r="K148">
        <v>52.615513586433003</v>
      </c>
      <c r="L148">
        <v>53.401859703218001</v>
      </c>
      <c r="M148">
        <v>2276805</v>
      </c>
    </row>
    <row r="149" spans="8:13" x14ac:dyDescent="0.25">
      <c r="H149">
        <v>1</v>
      </c>
      <c r="I149">
        <v>53.710425900944003</v>
      </c>
      <c r="J149">
        <v>53.710425900944003</v>
      </c>
      <c r="K149">
        <v>53.202784736943997</v>
      </c>
      <c r="L149">
        <v>53.551165927924004</v>
      </c>
      <c r="M149">
        <v>1857196</v>
      </c>
    </row>
    <row r="150" spans="8:13" x14ac:dyDescent="0.25">
      <c r="H150">
        <v>1</v>
      </c>
      <c r="I150">
        <v>53.401859703218001</v>
      </c>
      <c r="J150">
        <v>53.819917132394998</v>
      </c>
      <c r="K150">
        <v>53.342137213336002</v>
      </c>
      <c r="L150">
        <v>53.551165927924004</v>
      </c>
      <c r="M150">
        <v>1893622</v>
      </c>
    </row>
    <row r="151" spans="8:13" x14ac:dyDescent="0.25">
      <c r="H151">
        <v>1</v>
      </c>
      <c r="I151">
        <v>53.551165927924004</v>
      </c>
      <c r="J151">
        <v>54.312627673926002</v>
      </c>
      <c r="K151">
        <v>53.481489689728001</v>
      </c>
      <c r="L151">
        <v>54.178252071689997</v>
      </c>
      <c r="M151">
        <v>2532407</v>
      </c>
    </row>
    <row r="152" spans="8:13" x14ac:dyDescent="0.25">
      <c r="H152">
        <v>1</v>
      </c>
      <c r="I152">
        <v>54.367373289650999</v>
      </c>
      <c r="J152">
        <v>54.556494507612001</v>
      </c>
      <c r="K152">
        <v>53.790055887454002</v>
      </c>
      <c r="L152">
        <v>54.218067064944997</v>
      </c>
      <c r="M152">
        <v>2375869</v>
      </c>
    </row>
    <row r="153" spans="8:13" x14ac:dyDescent="0.25">
      <c r="H153">
        <v>1</v>
      </c>
      <c r="I153">
        <v>54.297697051455003</v>
      </c>
      <c r="J153">
        <v>54.387280786279</v>
      </c>
      <c r="K153">
        <v>53.899547118904998</v>
      </c>
      <c r="L153">
        <v>54.078714588552998</v>
      </c>
      <c r="M153">
        <v>1724285</v>
      </c>
    </row>
    <row r="154" spans="8:13" x14ac:dyDescent="0.25">
      <c r="H154">
        <v>1</v>
      </c>
      <c r="I154">
        <v>54.118529581807998</v>
      </c>
      <c r="J154">
        <v>54.476864521102002</v>
      </c>
      <c r="K154">
        <v>54.028945846984001</v>
      </c>
      <c r="L154">
        <v>54.407188282905999</v>
      </c>
      <c r="M154">
        <v>3148231</v>
      </c>
    </row>
    <row r="155" spans="8:13" x14ac:dyDescent="0.25">
      <c r="H155">
        <v>1</v>
      </c>
      <c r="I155">
        <v>54.367373289650999</v>
      </c>
      <c r="J155">
        <v>54.685893235690997</v>
      </c>
      <c r="K155">
        <v>54.098622085179997</v>
      </c>
      <c r="L155">
        <v>54.626170745807997</v>
      </c>
      <c r="M155">
        <v>2653272</v>
      </c>
    </row>
    <row r="156" spans="8:13" x14ac:dyDescent="0.25">
      <c r="H156">
        <v>1</v>
      </c>
      <c r="I156">
        <v>54.695846984005001</v>
      </c>
      <c r="J156">
        <v>55.034274426671999</v>
      </c>
      <c r="K156">
        <v>54.407188282905999</v>
      </c>
      <c r="L156">
        <v>54.486818269415998</v>
      </c>
      <c r="M156">
        <v>3103575</v>
      </c>
    </row>
    <row r="157" spans="8:13" x14ac:dyDescent="0.25">
      <c r="H157">
        <v>1</v>
      </c>
      <c r="I157">
        <v>54.317604548082002</v>
      </c>
      <c r="J157">
        <v>54.838285122374003</v>
      </c>
      <c r="K157">
        <v>54.078714588552998</v>
      </c>
      <c r="L157">
        <v>54.417142031220003</v>
      </c>
      <c r="M157">
        <v>3136048</v>
      </c>
    </row>
    <row r="158" spans="8:13" x14ac:dyDescent="0.25">
      <c r="H158">
        <v>1</v>
      </c>
      <c r="I158">
        <v>54.526633262670998</v>
      </c>
      <c r="J158">
        <v>54.710777606474998</v>
      </c>
      <c r="K158">
        <v>54.218067064944997</v>
      </c>
      <c r="L158">
        <v>54.456957024475003</v>
      </c>
      <c r="M158">
        <v>2384406</v>
      </c>
    </row>
    <row r="159" spans="8:13" x14ac:dyDescent="0.25">
      <c r="H159">
        <v>1</v>
      </c>
      <c r="I159">
        <v>54.506725766043999</v>
      </c>
      <c r="J159">
        <v>54.506725766043999</v>
      </c>
      <c r="K159">
        <v>53.511350934668997</v>
      </c>
      <c r="L159">
        <v>53.710425900944003</v>
      </c>
      <c r="M159">
        <v>3565875</v>
      </c>
    </row>
    <row r="160" spans="8:13" x14ac:dyDescent="0.25">
      <c r="H160">
        <v>1</v>
      </c>
      <c r="I160">
        <v>53.979177105414998</v>
      </c>
      <c r="J160">
        <v>54.387280786279</v>
      </c>
      <c r="K160">
        <v>53.844801503180001</v>
      </c>
      <c r="L160">
        <v>54.208113316631</v>
      </c>
      <c r="M160">
        <v>3475775</v>
      </c>
    </row>
    <row r="161" spans="8:13" x14ac:dyDescent="0.25">
      <c r="H161">
        <v>1</v>
      </c>
      <c r="I161">
        <v>53.760194642513</v>
      </c>
      <c r="J161">
        <v>53.889593370592003</v>
      </c>
      <c r="K161">
        <v>51.998381190981</v>
      </c>
      <c r="L161">
        <v>52.605559838118999</v>
      </c>
      <c r="M161">
        <v>8002087</v>
      </c>
    </row>
    <row r="162" spans="8:13" x14ac:dyDescent="0.25">
      <c r="H162">
        <v>1</v>
      </c>
      <c r="I162">
        <v>53.242599730198002</v>
      </c>
      <c r="J162">
        <v>53.590980921179003</v>
      </c>
      <c r="K162">
        <v>52.685189824628999</v>
      </c>
      <c r="L162">
        <v>52.874311042590001</v>
      </c>
      <c r="M162">
        <v>6769407</v>
      </c>
    </row>
    <row r="163" spans="8:13" x14ac:dyDescent="0.25">
      <c r="H163">
        <v>1</v>
      </c>
      <c r="I163">
        <v>52.844449797648998</v>
      </c>
      <c r="J163">
        <v>52.874311042590001</v>
      </c>
      <c r="K163">
        <v>52.048149932549997</v>
      </c>
      <c r="L163">
        <v>52.267132395452002</v>
      </c>
      <c r="M163">
        <v>5341654</v>
      </c>
    </row>
    <row r="164" spans="8:13" x14ac:dyDescent="0.25">
      <c r="H164">
        <v>1</v>
      </c>
      <c r="I164">
        <v>52.486114858354</v>
      </c>
      <c r="J164">
        <v>52.804634804393999</v>
      </c>
      <c r="K164">
        <v>52.461230487569999</v>
      </c>
      <c r="L164">
        <v>52.635421083060002</v>
      </c>
      <c r="M164">
        <v>4280390</v>
      </c>
    </row>
    <row r="165" spans="8:13" x14ac:dyDescent="0.25">
      <c r="H165">
        <v>1</v>
      </c>
      <c r="I165">
        <v>52.764819811138999</v>
      </c>
      <c r="J165">
        <v>52.864257756793002</v>
      </c>
      <c r="K165">
        <v>51.132405087685001</v>
      </c>
      <c r="L165">
        <v>51.520601271921002</v>
      </c>
      <c r="M165">
        <v>7260707</v>
      </c>
    </row>
    <row r="166" spans="8:13" x14ac:dyDescent="0.25">
      <c r="H166">
        <v>1</v>
      </c>
      <c r="I166">
        <v>51.799306224706001</v>
      </c>
      <c r="J166">
        <v>52.336808633647998</v>
      </c>
      <c r="K166">
        <v>51.590277510118</v>
      </c>
      <c r="L166">
        <v>51.978473694352999</v>
      </c>
      <c r="M166">
        <v>4969508</v>
      </c>
    </row>
    <row r="167" spans="8:13" x14ac:dyDescent="0.25">
      <c r="H167">
        <v>1</v>
      </c>
      <c r="I167">
        <v>51.829167469646997</v>
      </c>
      <c r="J167">
        <v>52.058103680862999</v>
      </c>
      <c r="K167">
        <v>51.410114665639</v>
      </c>
      <c r="L167">
        <v>51.898843707844001</v>
      </c>
      <c r="M167">
        <v>5004867</v>
      </c>
    </row>
    <row r="168" spans="8:13" x14ac:dyDescent="0.25">
      <c r="H168">
        <v>1</v>
      </c>
      <c r="I168">
        <v>51.75</v>
      </c>
      <c r="J168">
        <v>52.055</v>
      </c>
      <c r="K168">
        <v>51.6</v>
      </c>
      <c r="L168">
        <v>51.65</v>
      </c>
      <c r="M168">
        <v>3760042</v>
      </c>
    </row>
    <row r="169" spans="8:13" x14ac:dyDescent="0.25">
      <c r="H169">
        <v>1</v>
      </c>
      <c r="I169">
        <v>51.54</v>
      </c>
      <c r="J169">
        <v>51.9</v>
      </c>
      <c r="K169">
        <v>51.39</v>
      </c>
      <c r="L169">
        <v>51.45</v>
      </c>
      <c r="M169">
        <v>3720301</v>
      </c>
    </row>
    <row r="170" spans="8:13" x14ac:dyDescent="0.25">
      <c r="H170">
        <v>1</v>
      </c>
      <c r="I170">
        <v>51.67</v>
      </c>
      <c r="J170">
        <v>52.078600000000002</v>
      </c>
      <c r="K170">
        <v>51.56</v>
      </c>
      <c r="L170">
        <v>51.65</v>
      </c>
      <c r="M170">
        <v>3554563</v>
      </c>
    </row>
    <row r="171" spans="8:13" x14ac:dyDescent="0.25">
      <c r="H171">
        <v>1</v>
      </c>
      <c r="I171">
        <v>51.43</v>
      </c>
      <c r="J171">
        <v>51.86</v>
      </c>
      <c r="K171">
        <v>51.145000000000003</v>
      </c>
      <c r="L171">
        <v>51.4</v>
      </c>
      <c r="M171">
        <v>5927294</v>
      </c>
    </row>
    <row r="172" spans="8:13" x14ac:dyDescent="0.25">
      <c r="H172">
        <v>1</v>
      </c>
      <c r="I172">
        <v>51.3</v>
      </c>
      <c r="J172">
        <v>51.5</v>
      </c>
      <c r="K172">
        <v>51.05</v>
      </c>
      <c r="L172">
        <v>51.33</v>
      </c>
      <c r="M172">
        <v>5547411</v>
      </c>
    </row>
    <row r="173" spans="8:13" x14ac:dyDescent="0.25">
      <c r="H173">
        <v>1</v>
      </c>
      <c r="I173">
        <v>51.26</v>
      </c>
      <c r="J173">
        <v>51.48</v>
      </c>
      <c r="K173">
        <v>51.2</v>
      </c>
      <c r="L173">
        <v>51.35</v>
      </c>
      <c r="M173">
        <v>3816651</v>
      </c>
    </row>
    <row r="174" spans="8:13" x14ac:dyDescent="0.25">
      <c r="H174">
        <v>1</v>
      </c>
      <c r="I174">
        <v>51.5</v>
      </c>
      <c r="J174">
        <v>51.72</v>
      </c>
      <c r="K174">
        <v>50.97</v>
      </c>
      <c r="L174">
        <v>51.07</v>
      </c>
      <c r="M174">
        <v>3924124</v>
      </c>
    </row>
    <row r="175" spans="8:13" x14ac:dyDescent="0.25">
      <c r="H175">
        <v>1</v>
      </c>
      <c r="I175">
        <v>50.85</v>
      </c>
      <c r="J175">
        <v>51.24</v>
      </c>
      <c r="K175">
        <v>50.59</v>
      </c>
      <c r="L175">
        <v>50.82</v>
      </c>
      <c r="M175">
        <v>4424470</v>
      </c>
    </row>
  </sheetData>
  <dataValidations count="2">
    <dataValidation type="list" allowBlank="1" showInputMessage="1" showErrorMessage="1" sqref="P5">
      <formula1>"TRUE,FALSE"</formula1>
    </dataValidation>
    <dataValidation type="list" allowBlank="1" showInputMessage="1" showErrorMessage="1" sqref="P4">
      <formula1>"d,w,m"</formula1>
    </dataValidation>
  </dataValidations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rieveHistData">
                <anchor moveWithCells="1" sizeWithCells="1">
                  <from>
                    <xdr:col>14</xdr:col>
                    <xdr:colOff>38100</xdr:colOff>
                    <xdr:row>6</xdr:row>
                    <xdr:rowOff>38100</xdr:rowOff>
                  </from>
                  <to>
                    <xdr:col>15</xdr:col>
                    <xdr:colOff>742950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Live</vt:lpstr>
      <vt:lpstr>Historical</vt:lpstr>
      <vt:lpstr>EndDate</vt:lpstr>
      <vt:lpstr>Freq</vt:lpstr>
      <vt:lpstr>IsDes</vt:lpstr>
      <vt:lpstr>StartDate</vt:lpstr>
      <vt:lpstr>Symbol</vt:lpstr>
    </vt:vector>
  </TitlesOfParts>
  <Company>Exelon Corp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Wang, Letian:(Constellation)</dc:creator>
  <cp:lastModifiedBy>Letian</cp:lastModifiedBy>
  <cp:lastPrinted>2017-11-10T19:04:15Z</cp:lastPrinted>
  <dcterms:created xsi:type="dcterms:W3CDTF">2015-06-12T13:38:21Z</dcterms:created>
  <dcterms:modified xsi:type="dcterms:W3CDTF">2017-11-10T22:19:45Z</dcterms:modified>
</cp:coreProperties>
</file>